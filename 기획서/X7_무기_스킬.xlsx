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무기 비교 개요" sheetId="1" state="visible" r:id="rId1"/>
    <sheet xmlns:r="http://schemas.openxmlformats.org/officeDocument/2006/relationships" name="한손검" sheetId="2" state="visible" r:id="rId2"/>
    <sheet xmlns:r="http://schemas.openxmlformats.org/officeDocument/2006/relationships" name="양손검" sheetId="3" state="visible" r:id="rId3"/>
    <sheet xmlns:r="http://schemas.openxmlformats.org/officeDocument/2006/relationships" name="지팡이" sheetId="4" state="visible" r:id="rId4"/>
    <sheet xmlns:r="http://schemas.openxmlformats.org/officeDocument/2006/relationships" name="단검" sheetId="5" state="visible" r:id="rId5"/>
    <sheet xmlns:r="http://schemas.openxmlformats.org/officeDocument/2006/relationships" name="활" sheetId="6" state="visible" r:id="rId6"/>
    <sheet xmlns:r="http://schemas.openxmlformats.org/officeDocument/2006/relationships" name="스킬 리스트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1">
    <font>
      <name val="맑은 고딕"/>
      <family val="2"/>
      <color theme="1"/>
      <sz val="11"/>
      <scheme val="minor"/>
    </font>
    <font>
      <name val="맑은 고딕"/>
      <b val="1"/>
      <color rgb="FFE8B84B"/>
      <sz val="14"/>
    </font>
    <font>
      <name val="맑은 고딕"/>
      <b val="1"/>
      <color rgb="FFE8B84B"/>
      <sz val="11"/>
    </font>
    <font>
      <name val="맑은 고딕"/>
      <b val="1"/>
      <color rgb="FFFFFFFF"/>
      <sz val="10"/>
    </font>
    <font>
      <name val="맑은 고딕"/>
      <color rgb="FF1A2A3A"/>
      <sz val="10"/>
    </font>
    <font>
      <name val="맑은 고딕"/>
      <b val="1"/>
      <color rgb="FFFFFFFF"/>
      <sz val="9"/>
    </font>
    <font>
      <name val="맑은 고딕"/>
      <b val="1"/>
      <color rgb="FF1F2D3D"/>
      <sz val="9"/>
    </font>
    <font>
      <name val="맑은 고딕"/>
      <b val="1"/>
      <color rgb="FF1A2A3A"/>
      <sz val="10"/>
    </font>
    <font>
      <name val="맑은 고딕"/>
      <b val="1"/>
      <color rgb="FF7D6608"/>
      <sz val="10"/>
    </font>
    <font>
      <name val="맑은 고딕"/>
      <b val="1"/>
      <color rgb="FFE8B84B"/>
      <sz val="16"/>
    </font>
    <font>
      <name val="맑은 고딕"/>
      <i val="1"/>
      <color rgb="FFBDC3C7"/>
      <sz val="11"/>
    </font>
    <font>
      <name val="맑은 고딕"/>
      <b val="1"/>
      <color rgb="FFECF0F1"/>
      <sz val="12"/>
    </font>
    <font>
      <name val="맑은 고딕"/>
      <color rgb="FF000000"/>
      <sz val="10"/>
    </font>
    <font>
      <name val="맑은 고딕"/>
      <color rgb="FF000000"/>
      <sz val="9"/>
    </font>
    <font>
      <name val="맑은 고딕"/>
      <i val="1"/>
      <color rgb="FF999999"/>
      <sz val="10"/>
    </font>
    <font>
      <name val="맑은 고딕"/>
      <i val="1"/>
      <color rgb="FF7D6608"/>
      <sz val="9"/>
    </font>
    <font>
      <name val="맑은 고딕"/>
      <b val="1"/>
      <color rgb="FFE8B84B"/>
      <sz val="10"/>
    </font>
    <font>
      <name val="맑은 고딕"/>
      <i val="1"/>
      <color rgb="FF7D6608"/>
      <sz val="8"/>
    </font>
    <font>
      <name val="맑은 고딕"/>
      <color rgb="FF000000"/>
      <sz val="10"/>
    </font>
    <font>
      <name val="맑은 고딕"/>
      <sz val="10"/>
    </font>
    <font>
      <name val="맑은 고딕"/>
      <b val="1"/>
      <color rgb="FFE8B84B"/>
      <sz val="16"/>
    </font>
    <font>
      <name val="맑은 고딕"/>
      <color rgb="FFBDC3C7"/>
      <sz val="11"/>
    </font>
    <font>
      <name val="맑은 고딕"/>
      <b val="1"/>
      <color rgb="FFECF0F1"/>
      <sz val="12"/>
    </font>
    <font>
      <name val="맑은 고딕"/>
      <color rgb="FFBDC3C7"/>
      <sz val="10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b val="1"/>
      <color rgb="FF999999"/>
      <sz val="10"/>
    </font>
    <font>
      <name val="맑은 고딕"/>
      <color rgb="FF999999"/>
      <sz val="10"/>
    </font>
    <font>
      <name val="맑은 고딕"/>
      <color rgb="FFAAAAAA"/>
      <sz val="10"/>
    </font>
    <font>
      <name val="맑은 고딕"/>
      <b val="1"/>
      <color rgb="FFE8B84B"/>
      <sz val="11"/>
    </font>
    <font>
      <name val="맑은 고딕"/>
      <charset val="129"/>
      <family val="3"/>
      <sz val="8"/>
      <scheme val="minor"/>
    </font>
  </fonts>
  <fills count="38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F2F3F4"/>
      </patternFill>
    </fill>
    <fill>
      <patternFill patternType="solid">
        <fgColor rgb="FF7B241C"/>
      </patternFill>
    </fill>
    <fill>
      <patternFill patternType="solid">
        <fgColor rgb="FFEBF5FB"/>
      </patternFill>
    </fill>
    <fill>
      <patternFill patternType="solid">
        <fgColor rgb="FF1A4F72"/>
      </patternFill>
    </fill>
    <fill>
      <patternFill patternType="solid">
        <fgColor rgb="FF1E6B3E"/>
      </patternFill>
    </fill>
    <fill>
      <patternFill patternType="solid">
        <fgColor rgb="FF34495E"/>
      </patternFill>
    </fill>
    <fill>
      <patternFill patternType="solid">
        <fgColor rgb="FFE8B84B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D6EAF8"/>
      </patternFill>
    </fill>
    <fill>
      <patternFill patternType="solid">
        <fgColor rgb="FFF9EBEA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EFDE7"/>
      </patternFill>
    </fill>
    <fill>
      <patternFill patternType="solid">
        <fgColor rgb="FFFDFEFE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DFFFDF"/>
      </patternFill>
    </fill>
    <fill>
      <patternFill patternType="solid">
        <fgColor rgb="FFF3E5F5"/>
      </patternFill>
    </fill>
    <fill>
      <patternFill patternType="solid">
        <fgColor rgb="FFE8F8F5"/>
      </patternFill>
    </fill>
    <fill>
      <patternFill patternType="solid">
        <fgColor rgb="FFF0F7E8"/>
      </patternFill>
    </fill>
    <fill>
      <patternFill patternType="solid">
        <fgColor rgb="FFF0F0F0"/>
      </patternFill>
    </fill>
    <fill>
      <patternFill patternType="solid">
        <fgColor rgb="FF555555"/>
      </patternFill>
    </fill>
    <fill>
      <patternFill patternType="solid">
        <fgColor rgb="FF333333"/>
      </patternFill>
    </fill>
    <fill>
      <patternFill patternType="solid">
        <fgColor rgb="FFFAFAFA"/>
      </patternFill>
    </fill>
    <fill>
      <patternFill patternType="solid">
        <fgColor rgb="FFFFC000"/>
        <bgColor indexed="64"/>
      </patternFill>
    </fill>
    <fill>
      <patternFill patternType="solid">
        <fgColor rgb="001F2D3D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9EBEA"/>
      </patternFill>
    </fill>
    <fill>
      <patternFill patternType="solid">
        <fgColor rgb="00FEF9E7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2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1" fontId="12" fillId="1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2" fontId="12" fillId="17" borderId="1" applyAlignment="1" pivotButton="0" quotePrefix="0" xfId="0">
      <alignment horizontal="center" vertical="center"/>
    </xf>
    <xf numFmtId="164" fontId="12" fillId="17" borderId="1" applyAlignment="1" pivotButton="0" quotePrefix="0" xfId="0">
      <alignment horizontal="center" vertical="center"/>
    </xf>
    <xf numFmtId="1" fontId="12" fillId="1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2" fontId="12" fillId="15" borderId="1" applyAlignment="1" pivotButton="0" quotePrefix="0" xfId="0">
      <alignment horizontal="center" vertical="center"/>
    </xf>
    <xf numFmtId="164" fontId="12" fillId="15" borderId="1" applyAlignment="1" pivotButton="0" quotePrefix="0" xfId="0">
      <alignment horizontal="center" vertical="center"/>
    </xf>
    <xf numFmtId="1" fontId="12" fillId="15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2" fontId="12" fillId="18" borderId="1" applyAlignment="1" pivotButton="0" quotePrefix="0" xfId="0">
      <alignment horizontal="center" vertical="center"/>
    </xf>
    <xf numFmtId="164" fontId="12" fillId="18" borderId="1" applyAlignment="1" pivotButton="0" quotePrefix="0" xfId="0">
      <alignment horizontal="center" vertical="center"/>
    </xf>
    <xf numFmtId="1" fontId="12" fillId="18" borderId="1" applyAlignment="1" pivotButton="0" quotePrefix="0" xfId="0">
      <alignment horizontal="center" vertical="center"/>
    </xf>
    <xf numFmtId="2" fontId="12" fillId="16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1" fontId="12" fillId="16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center" vertical="center"/>
    </xf>
    <xf numFmtId="2" fontId="12" fillId="19" borderId="1" applyAlignment="1" pivotButton="0" quotePrefix="0" xfId="0">
      <alignment horizontal="center" vertical="center"/>
    </xf>
    <xf numFmtId="164" fontId="12" fillId="19" borderId="1" applyAlignment="1" pivotButton="0" quotePrefix="0" xfId="0">
      <alignment horizontal="center" vertical="center"/>
    </xf>
    <xf numFmtId="1" fontId="12" fillId="19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1" fontId="12" fillId="14" borderId="1" applyAlignment="1" pivotButton="0" quotePrefix="0" xfId="0">
      <alignment horizontal="center" vertical="center"/>
    </xf>
    <xf numFmtId="1" fontId="12" fillId="7" borderId="1" applyAlignment="1" pivotButton="0" quotePrefix="0" xfId="0">
      <alignment horizontal="center" vertical="center"/>
    </xf>
    <xf numFmtId="2" fontId="12" fillId="14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165" fontId="12" fillId="20" borderId="1" applyAlignment="1" pivotButton="0" quotePrefix="0" xfId="0">
      <alignment horizontal="center" vertical="center"/>
    </xf>
    <xf numFmtId="1" fontId="12" fillId="2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12" fillId="23" borderId="1" applyAlignment="1" pivotButton="0" quotePrefix="0" xfId="0">
      <alignment horizontal="left" vertical="center"/>
    </xf>
    <xf numFmtId="0" fontId="12" fillId="24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left" vertical="center"/>
    </xf>
    <xf numFmtId="0" fontId="12" fillId="25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4" fillId="3" borderId="4" applyAlignment="1" pivotButton="0" quotePrefix="0" xfId="0">
      <alignment horizontal="center" vertical="center" wrapText="1"/>
    </xf>
    <xf numFmtId="0" fontId="25" fillId="12" borderId="4" applyAlignment="1" pivotButton="0" quotePrefix="0" xfId="0">
      <alignment horizontal="center" vertical="center" wrapText="1"/>
    </xf>
    <xf numFmtId="0" fontId="25" fillId="12" borderId="4" applyAlignment="1" pivotButton="0" quotePrefix="0" xfId="0">
      <alignment horizontal="left" vertical="center" wrapText="1"/>
    </xf>
    <xf numFmtId="0" fontId="26" fillId="17" borderId="4" applyAlignment="1" pivotButton="0" quotePrefix="0" xfId="0">
      <alignment horizontal="center" vertical="center" wrapText="1"/>
    </xf>
    <xf numFmtId="0" fontId="27" fillId="17" borderId="4" applyAlignment="1" pivotButton="0" quotePrefix="0" xfId="0">
      <alignment horizontal="center" vertical="center" wrapText="1"/>
    </xf>
    <xf numFmtId="0" fontId="27" fillId="17" borderId="4" applyAlignment="1" pivotButton="0" quotePrefix="0" xfId="0">
      <alignment horizontal="left" vertical="center" wrapText="1"/>
    </xf>
    <xf numFmtId="0" fontId="0" fillId="27" borderId="0" pivotButton="0" quotePrefix="0" xfId="0"/>
    <xf numFmtId="0" fontId="25" fillId="14" borderId="4" applyAlignment="1" pivotButton="0" quotePrefix="0" xfId="0">
      <alignment horizontal="center" vertical="center" wrapText="1"/>
    </xf>
    <xf numFmtId="0" fontId="25" fillId="14" borderId="4" applyAlignment="1" pivotButton="0" quotePrefix="0" xfId="0">
      <alignment horizontal="left" vertical="center" wrapText="1"/>
    </xf>
    <xf numFmtId="0" fontId="26" fillId="7" borderId="4" applyAlignment="1" pivotButton="0" quotePrefix="0" xfId="0">
      <alignment horizontal="center" vertical="center" wrapText="1"/>
    </xf>
    <xf numFmtId="0" fontId="27" fillId="7" borderId="4" applyAlignment="1" pivotButton="0" quotePrefix="0" xfId="0">
      <alignment horizontal="center" vertical="center" wrapText="1"/>
    </xf>
    <xf numFmtId="0" fontId="27" fillId="7" borderId="4" applyAlignment="1" pivotButton="0" quotePrefix="0" xfId="0">
      <alignment horizontal="left" vertical="center" wrapText="1"/>
    </xf>
    <xf numFmtId="0" fontId="25" fillId="15" borderId="4" applyAlignment="1" pivotButton="0" quotePrefix="0" xfId="0">
      <alignment horizontal="center" vertical="center" wrapText="1"/>
    </xf>
    <xf numFmtId="0" fontId="25" fillId="15" borderId="4" applyAlignment="1" pivotButton="0" quotePrefix="0" xfId="0">
      <alignment horizontal="left" vertical="center" wrapText="1"/>
    </xf>
    <xf numFmtId="0" fontId="26" fillId="18" borderId="4" applyAlignment="1" pivotButton="0" quotePrefix="0" xfId="0">
      <alignment horizontal="center" vertical="center" wrapText="1"/>
    </xf>
    <xf numFmtId="0" fontId="27" fillId="18" borderId="4" applyAlignment="1" pivotButton="0" quotePrefix="0" xfId="0">
      <alignment horizontal="center" vertical="center" wrapText="1"/>
    </xf>
    <xf numFmtId="0" fontId="27" fillId="18" borderId="4" applyAlignment="1" pivotButton="0" quotePrefix="0" xfId="0">
      <alignment horizontal="left" vertical="center" wrapText="1"/>
    </xf>
    <xf numFmtId="0" fontId="25" fillId="16" borderId="4" applyAlignment="1" pivotButton="0" quotePrefix="0" xfId="0">
      <alignment horizontal="center" vertical="center" wrapText="1"/>
    </xf>
    <xf numFmtId="0" fontId="25" fillId="16" borderId="4" applyAlignment="1" pivotButton="0" quotePrefix="0" xfId="0">
      <alignment horizontal="left" vertical="center" wrapText="1"/>
    </xf>
    <xf numFmtId="0" fontId="26" fillId="19" borderId="4" applyAlignment="1" pivotButton="0" quotePrefix="0" xfId="0">
      <alignment horizontal="center" vertical="center" wrapText="1"/>
    </xf>
    <xf numFmtId="0" fontId="27" fillId="19" borderId="4" applyAlignment="1" pivotButton="0" quotePrefix="0" xfId="0">
      <alignment horizontal="center" vertical="center" wrapText="1"/>
    </xf>
    <xf numFmtId="0" fontId="27" fillId="19" borderId="4" applyAlignment="1" pivotButton="0" quotePrefix="0" xfId="0">
      <alignment horizontal="left" vertical="center" wrapText="1"/>
    </xf>
    <xf numFmtId="0" fontId="29" fillId="10" borderId="0" applyAlignment="1" pivotButton="0" quotePrefix="0" xfId="0">
      <alignment horizontal="center" vertical="center" wrapText="1"/>
    </xf>
    <xf numFmtId="0" fontId="18" fillId="30" borderId="4" applyAlignment="1" pivotButton="0" quotePrefix="0" xfId="0">
      <alignment horizontal="center" vertical="center" wrapText="1"/>
    </xf>
    <xf numFmtId="0" fontId="18" fillId="30" borderId="4" applyAlignment="1" pivotButton="0" quotePrefix="0" xfId="0">
      <alignment horizontal="left" vertical="center" wrapText="1"/>
    </xf>
    <xf numFmtId="0" fontId="18" fillId="27" borderId="4" applyAlignment="1" pivotButton="0" quotePrefix="0" xfId="0">
      <alignment horizontal="center" vertical="center" wrapText="1"/>
    </xf>
    <xf numFmtId="0" fontId="18" fillId="27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8" fillId="29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/>
    </xf>
    <xf numFmtId="0" fontId="4" fillId="7" borderId="5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12" fillId="12" borderId="1" applyAlignment="1" pivotButton="0" quotePrefix="0" xfId="0">
      <alignment horizontal="center" vertical="center"/>
    </xf>
    <xf numFmtId="164" fontId="12" fillId="17" borderId="1" applyAlignment="1" pivotButton="0" quotePrefix="0" xfId="0">
      <alignment horizontal="center" vertical="center"/>
    </xf>
    <xf numFmtId="164" fontId="12" fillId="15" borderId="1" applyAlignment="1" pivotButton="0" quotePrefix="0" xfId="0">
      <alignment horizontal="center" vertical="center"/>
    </xf>
    <xf numFmtId="164" fontId="12" fillId="18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164" fontId="12" fillId="19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20" borderId="1" applyAlignment="1" pivotButton="0" quotePrefix="0" xfId="0">
      <alignment horizontal="center" vertical="center"/>
    </xf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" borderId="0" pivotButton="0" quotePrefix="0" xfId="0"/>
    <xf numFmtId="0" fontId="0" fillId="12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29" fillId="2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2" fontId="18" fillId="12" borderId="1" applyAlignment="1" pivotButton="0" quotePrefix="0" xfId="0">
      <alignment horizontal="center" vertical="center"/>
    </xf>
    <xf numFmtId="164" fontId="18" fillId="12" borderId="1" applyAlignment="1" pivotButton="0" quotePrefix="0" xfId="0">
      <alignment horizontal="center" vertical="center"/>
    </xf>
    <xf numFmtId="1" fontId="18" fillId="12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2" fontId="18" fillId="14" borderId="1" applyAlignment="1" pivotButton="0" quotePrefix="0" xfId="0">
      <alignment horizontal="center" vertical="center"/>
    </xf>
    <xf numFmtId="164" fontId="18" fillId="14" borderId="1" applyAlignment="1" pivotButton="0" quotePrefix="0" xfId="0">
      <alignment horizontal="center" vertical="center"/>
    </xf>
    <xf numFmtId="1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center" vertical="center"/>
    </xf>
    <xf numFmtId="2" fontId="18" fillId="15" borderId="1" applyAlignment="1" pivotButton="0" quotePrefix="0" xfId="0">
      <alignment horizontal="center" vertical="center"/>
    </xf>
    <xf numFmtId="164" fontId="18" fillId="15" borderId="1" applyAlignment="1" pivotButton="0" quotePrefix="0" xfId="0">
      <alignment horizontal="center" vertical="center"/>
    </xf>
    <xf numFmtId="1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2" fontId="18" fillId="16" borderId="1" applyAlignment="1" pivotButton="0" quotePrefix="0" xfId="0">
      <alignment horizontal="center" vertical="center"/>
    </xf>
    <xf numFmtId="164" fontId="18" fillId="16" borderId="1" applyAlignment="1" pivotButton="0" quotePrefix="0" xfId="0">
      <alignment horizontal="center" vertical="center"/>
    </xf>
    <xf numFmtId="1" fontId="18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164" fontId="18" fillId="7" borderId="1" applyAlignment="1" pivotButton="0" quotePrefix="0" xfId="0">
      <alignment horizontal="center" vertical="center"/>
    </xf>
    <xf numFmtId="1" fontId="18" fillId="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2" fontId="18" fillId="19" borderId="1" applyAlignment="1" pivotButton="0" quotePrefix="0" xfId="0">
      <alignment horizontal="center" vertical="center"/>
    </xf>
    <xf numFmtId="164" fontId="18" fillId="19" borderId="1" applyAlignment="1" pivotButton="0" quotePrefix="0" xfId="0">
      <alignment horizontal="center" vertical="center"/>
    </xf>
    <xf numFmtId="1" fontId="18" fillId="19" borderId="1" applyAlignment="1" pivotButton="0" quotePrefix="0" xfId="0">
      <alignment horizontal="center" vertical="center"/>
    </xf>
    <xf numFmtId="164" fontId="18" fillId="17" borderId="1" applyAlignment="1" pivotButton="0" quotePrefix="0" xfId="0">
      <alignment horizontal="center" vertical="center"/>
    </xf>
    <xf numFmtId="1" fontId="18" fillId="17" borderId="1" applyAlignment="1" pivotButton="0" quotePrefix="0" xfId="0">
      <alignment horizontal="center" vertical="center"/>
    </xf>
    <xf numFmtId="2" fontId="18" fillId="7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ko-KR" altLang="en-US"/>
              <a:t xml:space="preserve">커맨드별 무기 피해 비교  </a:t>
            </a:r>
            <a:r>
              <a:rPr lang="en-US" altLang="ko-KR"/>
              <a:t>(3</a:t>
            </a:r>
            <a:r>
              <a:rPr lang="ko-KR" altLang="en-US"/>
              <a:t xml:space="preserve">티어 </a:t>
            </a:r>
            <a:r>
              <a:rPr lang="en-US"/>
              <a:t xml:space="preserve">Lv.1 </a:t>
            </a:r>
            <a:r>
              <a:rPr lang="ko-KR" altLang="en-US"/>
              <a:t xml:space="preserve">기준  </a:t>
            </a:r>
            <a:r>
              <a:rPr lang="en-US" altLang="ko-KR"/>
              <a:t>/  1</a:t>
            </a:r>
            <a:r>
              <a:rPr lang="ko-KR" altLang="en-US"/>
              <a:t>분 누적 피해</a:t>
            </a:r>
            <a:r>
              <a:rPr lang="en-US" altLang="ko-KR"/>
              <a:t>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'무기 비교 개요'!$B$10</f>
              <strCache>
                <ptCount val="1"/>
                <pt idx="0">
                  <v>한손검</v>
                </pt>
              </strCache>
            </strRef>
          </tx>
          <spPr>
            <a:solidFill xmlns:a="http://schemas.openxmlformats.org/drawingml/2006/main">
              <a:srgbClr val="5D6D7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'무기 비교 개요'!$A$11:$A$14</f>
              <strCache>
                <ptCount val="4"/>
                <pt idx="0">
                  <v>Q</v>
                </pt>
                <pt idx="1">
                  <v>W</v>
                </pt>
                <pt idx="2">
                  <v>E</v>
                </pt>
                <pt idx="3">
                  <v>R</v>
                </pt>
              </strCache>
            </strRef>
          </cat>
          <val>
            <numRef>
              <f>'무기 비교 개요'!$B$11:$B$14</f>
              <numCache>
                <formatCode>General</formatCode>
                <ptCount val="4"/>
                <pt idx="0">
                  <v>24</v>
                </pt>
                <pt idx="1">
                  <v>0</v>
                </pt>
                <pt idx="2">
                  <v>12</v>
                </pt>
                <pt idx="3">
                  <v>6</v>
                </pt>
              </numCache>
            </numRef>
          </val>
        </ser>
        <ser>
          <idx val="1"/>
          <order val="1"/>
          <tx>
            <strRef>
              <f>'무기 비교 개요'!$C$10</f>
              <strCache>
                <ptCount val="1"/>
                <pt idx="0">
                  <v>양손검</v>
                </pt>
              </strCache>
            </strRef>
          </tx>
          <spPr>
            <a:solidFill xmlns:a="http://schemas.openxmlformats.org/drawingml/2006/main">
              <a:srgbClr val="7B241C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'무기 비교 개요'!$A$11:$A$14</f>
              <strCache>
                <ptCount val="4"/>
                <pt idx="0">
                  <v>Q</v>
                </pt>
                <pt idx="1">
                  <v>W</v>
                </pt>
                <pt idx="2">
                  <v>E</v>
                </pt>
                <pt idx="3">
                  <v>R</v>
                </pt>
              </strCache>
            </strRef>
          </cat>
          <val>
            <numRef>
              <f>'무기 비교 개요'!$C$11:$C$14</f>
              <numCache>
                <formatCode>General</formatCode>
                <ptCount val="4"/>
                <pt idx="0">
                  <v>24</v>
                </pt>
                <pt idx="1">
                  <v>12.5</v>
                </pt>
                <pt idx="2">
                  <v>12</v>
                </pt>
                <pt idx="3">
                  <v>6</v>
                </pt>
              </numCache>
            </numRef>
          </val>
        </ser>
        <ser>
          <idx val="2"/>
          <order val="2"/>
          <tx>
            <strRef>
              <f>'무기 비교 개요'!$D$10</f>
              <strCache>
                <ptCount val="1"/>
                <pt idx="0">
                  <v>지팡이</v>
                </pt>
              </strCache>
            </strRef>
          </tx>
          <spPr>
            <a:solidFill xmlns:a="http://schemas.openxmlformats.org/drawingml/2006/main">
              <a:srgbClr val="1A4F72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'무기 비교 개요'!$A$11:$A$14</f>
              <strCache>
                <ptCount val="4"/>
                <pt idx="0">
                  <v>Q</v>
                </pt>
                <pt idx="1">
                  <v>W</v>
                </pt>
                <pt idx="2">
                  <v>E</v>
                </pt>
                <pt idx="3">
                  <v>R</v>
                </pt>
              </strCache>
            </strRef>
          </cat>
          <val>
            <numRef>
              <f>'무기 비교 개요'!$D$11:$D$14</f>
              <numCache>
                <formatCode>General</formatCode>
                <ptCount val="4"/>
                <pt idx="0">
                  <v>40</v>
                </pt>
                <pt idx="1">
                  <v>16</v>
                </pt>
                <pt idx="2">
                  <v>9</v>
                </pt>
                <pt idx="3">
                  <v>0</v>
                </pt>
              </numCache>
            </numRef>
          </val>
        </ser>
        <ser>
          <idx val="3"/>
          <order val="3"/>
          <tx>
            <strRef>
              <f>'무기 비교 개요'!$E$10</f>
              <strCache>
                <ptCount val="1"/>
                <pt idx="0">
                  <v>단검</v>
                </pt>
              </strCache>
            </strRef>
          </tx>
          <spPr>
            <a:solidFill xmlns:a="http://schemas.openxmlformats.org/drawingml/2006/main">
              <a:srgbClr val="1E6B3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'무기 비교 개요'!$A$11:$A$14</f>
              <strCache>
                <ptCount val="4"/>
                <pt idx="0">
                  <v>Q</v>
                </pt>
                <pt idx="1">
                  <v>W</v>
                </pt>
                <pt idx="2">
                  <v>E</v>
                </pt>
                <pt idx="3">
                  <v>R</v>
                </pt>
              </strCache>
            </strRef>
          </cat>
          <val>
            <numRef>
              <f>'무기 비교 개요'!$E$11:$E$14</f>
              <numCache>
                <formatCode>General</formatCode>
                <ptCount val="4"/>
                <pt idx="0">
                  <v>18</v>
                </pt>
                <pt idx="1">
                  <v>0</v>
                </pt>
                <pt idx="2">
                  <v>12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>스킬 커맨드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altLang="ko-KR"/>
                  <a:t>1</a:t>
                </a:r>
                <a:r>
                  <a:rPr lang="ko-KR" altLang="en-US"/>
                  <a:t xml:space="preserve">분 누적 피해 </a:t>
                </a:r>
                <a:r>
                  <a:rPr lang="en-US" altLang="ko-KR"/>
                  <a:t>(</a:t>
                </a:r>
                <a:r>
                  <a:rPr lang="ko-KR" altLang="en-US"/>
                  <a:t>배율</a:t>
                </a:r>
                <a:r>
                  <a:rPr lang="en-US" altLang="ko-KR"/>
                  <a:t>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양손검!$C$99</f>
              <strCache>
                <ptCount val="1"/>
                <pt idx="0">
                  <v>Q</v>
                </pt>
              </strCache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양손검!$C$100:$C$104</f>
              <numCache>
                <formatCode>0.00</formatCode>
                <ptCount val="5"/>
                <pt idx="0">
                  <v>10</v>
                </pt>
                <pt idx="1">
                  <v>13.09090909090909</v>
                </pt>
                <pt idx="2">
                  <v>16.8</v>
                </pt>
                <pt idx="3">
                  <v>21.33333333333334</v>
                </pt>
                <pt idx="4">
                  <v>27</v>
                </pt>
              </numCache>
            </numRef>
          </val>
          <smooth val="1"/>
        </ser>
        <ser>
          <idx val="1"/>
          <order val="1"/>
          <tx>
            <strRef>
              <f>양손검!$D$99</f>
              <strCache>
                <ptCount val="1"/>
                <pt idx="0">
                  <v>W</v>
                </pt>
              </strCache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양손검!$D$100:$D$104</f>
              <numCache>
                <formatCode>0.00</formatCode>
                <ptCount val="5"/>
                <pt idx="0">
                  <v>11.53846153846154</v>
                </pt>
                <pt idx="1">
                  <v>13.75</v>
                </pt>
                <pt idx="2">
                  <v>16.36363636363636</v>
                </pt>
                <pt idx="3">
                  <v>19.5</v>
                </pt>
                <pt idx="4">
                  <v>23.33333333333334</v>
                </pt>
              </numCache>
            </numRef>
          </val>
          <smooth val="1"/>
        </ser>
        <ser>
          <idx val="2"/>
          <order val="2"/>
          <tx>
            <strRef>
              <f>양손검!$E$99</f>
              <strCache>
                <ptCount val="1"/>
                <pt idx="0">
                  <v>E</v>
                </pt>
              </strCache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양손검!$E$100:$E$104</f>
              <numCache>
                <formatCode>0.00</formatCode>
                <ptCount val="5"/>
                <pt idx="0">
                  <v>11.25</v>
                </pt>
                <pt idx="1">
                  <v>13.2</v>
                </pt>
                <pt idx="2">
                  <v>15.42857142857143</v>
                </pt>
                <pt idx="3">
                  <v>18</v>
                </pt>
                <pt idx="4">
                  <v>21</v>
                </pt>
              </numCache>
            </numRef>
          </val>
          <smooth val="1"/>
        </ser>
        <ser>
          <idx val="3"/>
          <order val="3"/>
          <tx>
            <strRef>
              <f>양손검!$F$99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양손검!$F$100:$F$104</f>
              <numCache>
                <formatCode>0.00</formatCode>
                <ptCount val="5"/>
                <pt idx="0">
                  <v>5.853658536585366</v>
                </pt>
                <pt idx="1">
                  <v>6.76923076923077</v>
                </pt>
                <pt idx="2">
                  <v>7.783783783783784</v>
                </pt>
                <pt idx="3">
                  <v>8.914285714285715</v>
                </pt>
                <pt idx="4">
                  <v>10.18181818181818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양손검!$C$99</f>
              <strCache>
                <ptCount val="1"/>
                <pt idx="0">
                  <v>Q</v>
                </pt>
              </strCache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양손검!$C$100:$C$104</f>
              <numCache>
                <formatCode>0.00</formatCode>
                <ptCount val="5"/>
                <pt idx="0">
                  <v>10</v>
                </pt>
                <pt idx="1">
                  <v>13.09090909090909</v>
                </pt>
                <pt idx="2">
                  <v>16.8</v>
                </pt>
                <pt idx="3">
                  <v>21.33333333333334</v>
                </pt>
                <pt idx="4">
                  <v>27</v>
                </pt>
              </numCache>
            </numRef>
          </val>
        </ser>
        <ser>
          <idx val="1"/>
          <order val="1"/>
          <tx>
            <strRef>
              <f>양손검!$D$99</f>
              <strCache>
                <ptCount val="1"/>
                <pt idx="0">
                  <v>W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양손검!$D$100:$D$104</f>
              <numCache>
                <formatCode>0.00</formatCode>
                <ptCount val="5"/>
                <pt idx="0">
                  <v>11.53846153846154</v>
                </pt>
                <pt idx="1">
                  <v>13.75</v>
                </pt>
                <pt idx="2">
                  <v>16.36363636363636</v>
                </pt>
                <pt idx="3">
                  <v>19.5</v>
                </pt>
                <pt idx="4">
                  <v>23.33333333333334</v>
                </pt>
              </numCache>
            </numRef>
          </val>
        </ser>
        <ser>
          <idx val="2"/>
          <order val="2"/>
          <tx>
            <strRef>
              <f>양손검!$E$99</f>
              <strCache>
                <ptCount val="1"/>
                <pt idx="0">
                  <v>E</v>
                </pt>
              </strCache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양손검!$E$100:$E$104</f>
              <numCache>
                <formatCode>0.00</formatCode>
                <ptCount val="5"/>
                <pt idx="0">
                  <v>11.25</v>
                </pt>
                <pt idx="1">
                  <v>13.2</v>
                </pt>
                <pt idx="2">
                  <v>15.42857142857143</v>
                </pt>
                <pt idx="3">
                  <v>18</v>
                </pt>
                <pt idx="4">
                  <v>21</v>
                </pt>
              </numCache>
            </numRef>
          </val>
        </ser>
        <ser>
          <idx val="3"/>
          <order val="3"/>
          <tx>
            <strRef>
              <f>양손검!$F$99</f>
              <strCache>
                <ptCount val="1"/>
                <pt idx="0">
                  <v>R</v>
                </pt>
              </strCache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양손검!$B$100:$B$104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양손검!$F$100:$F$104</f>
              <numCache>
                <formatCode>0.00</formatCode>
                <ptCount val="5"/>
                <pt idx="0">
                  <v>5.853658536585366</v>
                </pt>
                <pt idx="1">
                  <v>6.76923076923077</v>
                </pt>
                <pt idx="2">
                  <v>7.783783783783784</v>
                </pt>
                <pt idx="3">
                  <v>8.914285714285715</v>
                </pt>
                <pt idx="4">
                  <v>10.18181818181818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2티어  스킬별 레벨 성장 (1분 누적 피해)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지팡이!$C$67</f>
              <strCache>
                <ptCount val="1"/>
                <pt idx="0">
                  <v>Q</v>
                </pt>
              </strCache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지팡이!$C$68:$C$72</f>
              <numCache>
                <formatCode>0.00</formatCode>
                <ptCount val="5"/>
                <pt idx="0">
                  <v>14.4</v>
                </pt>
                <pt idx="1">
                  <v>16.8</v>
                </pt>
                <pt idx="2">
                  <v>19.2</v>
                </pt>
                <pt idx="3">
                  <v>21.6</v>
                </pt>
                <pt idx="4">
                  <v>24</v>
                </pt>
              </numCache>
            </numRef>
          </val>
          <smooth val="1"/>
        </ser>
        <ser>
          <idx val="1"/>
          <order val="1"/>
          <tx>
            <strRef>
              <f>지팡이!$D$67</f>
              <strCache>
                <ptCount val="1"/>
                <pt idx="0">
                  <v>W</v>
                </pt>
              </strCache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지팡이!$D$68:$D$72</f>
              <numCache>
                <formatCode>0.00</formatCode>
                <ptCount val="5"/>
                <pt idx="0">
                  <v>11.53846153846154</v>
                </pt>
                <pt idx="1">
                  <v>12.46153846153846</v>
                </pt>
                <pt idx="2">
                  <v>13.38461538461538</v>
                </pt>
                <pt idx="3">
                  <v>14.30769230769231</v>
                </pt>
                <pt idx="4">
                  <v>15.23076923076923</v>
                </pt>
              </numCache>
            </numRef>
          </val>
          <smooth val="1"/>
        </ser>
        <ser>
          <idx val="2"/>
          <order val="2"/>
          <tx>
            <strRef>
              <f>지팡이!$E$67</f>
              <strCache>
                <ptCount val="1"/>
                <pt idx="0">
                  <v>E</v>
                </pt>
              </strCache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지팡이!$E$68:$E$72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3"/>
          <order val="3"/>
          <tx>
            <strRef>
              <f>지팡이!$F$67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지팡이!$F$68:$F$72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2티어  레벨별 스킬 피해 비교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지팡이!$C$67</f>
              <strCache>
                <ptCount val="1"/>
                <pt idx="0">
                  <v>Q</v>
                </pt>
              </strCache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지팡이!$C$68:$C$72</f>
              <numCache>
                <formatCode>0.00</formatCode>
                <ptCount val="5"/>
                <pt idx="0">
                  <v>14.4</v>
                </pt>
                <pt idx="1">
                  <v>16.8</v>
                </pt>
                <pt idx="2">
                  <v>19.2</v>
                </pt>
                <pt idx="3">
                  <v>21.6</v>
                </pt>
                <pt idx="4">
                  <v>24</v>
                </pt>
              </numCache>
            </numRef>
          </val>
        </ser>
        <ser>
          <idx val="1"/>
          <order val="1"/>
          <tx>
            <strRef>
              <f>지팡이!$D$67</f>
              <strCache>
                <ptCount val="1"/>
                <pt idx="0">
                  <v>W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지팡이!$D$68:$D$72</f>
              <numCache>
                <formatCode>0.00</formatCode>
                <ptCount val="5"/>
                <pt idx="0">
                  <v>11.53846153846154</v>
                </pt>
                <pt idx="1">
                  <v>12.46153846153846</v>
                </pt>
                <pt idx="2">
                  <v>13.38461538461538</v>
                </pt>
                <pt idx="3">
                  <v>14.30769230769231</v>
                </pt>
                <pt idx="4">
                  <v>15.23076923076923</v>
                </pt>
              </numCache>
            </numRef>
          </val>
        </ser>
        <ser>
          <idx val="2"/>
          <order val="2"/>
          <tx>
            <strRef>
              <f>지팡이!$E$67</f>
              <strCache>
                <ptCount val="1"/>
                <pt idx="0">
                  <v>E</v>
                </pt>
              </strCache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지팡이!$E$68:$E$72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3"/>
          <order val="3"/>
          <tx>
            <strRef>
              <f>지팡이!$F$67</f>
              <strCache>
                <ptCount val="1"/>
                <pt idx="0">
                  <v>R</v>
                </pt>
              </strCache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지팡이!$B$68:$B$72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지팡이!$F$68:$F$72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지팡이!$C$147</f>
              <strCache>
                <ptCount val="1"/>
                <pt idx="0">
                  <v>Q</v>
                </pt>
              </strCache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지팡이!$C$148:$C$152</f>
              <numCache>
                <formatCode>0.00</formatCode>
                <ptCount val="5"/>
                <pt idx="0">
                  <v>24</v>
                </pt>
                <pt idx="1">
                  <v>29.33333333333334</v>
                </pt>
                <pt idx="2">
                  <v>32</v>
                </pt>
                <pt idx="3">
                  <v>39</v>
                </pt>
                <pt idx="4">
                  <v>42</v>
                </pt>
              </numCache>
            </numRef>
          </val>
          <smooth val="1"/>
        </ser>
        <ser>
          <idx val="1"/>
          <order val="1"/>
          <tx>
            <strRef>
              <f>지팡이!$D$147</f>
              <strCache>
                <ptCount val="1"/>
                <pt idx="0">
                  <v>W</v>
                </pt>
              </strCache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지팡이!$D$148:$D$152</f>
              <numCache>
                <formatCode>0.00</formatCode>
                <ptCount val="5"/>
                <pt idx="0">
                  <v>15</v>
                </pt>
                <pt idx="1">
                  <v>17.6</v>
                </pt>
                <pt idx="2">
                  <v>20.57142857142857</v>
                </pt>
                <pt idx="3">
                  <v>24</v>
                </pt>
                <pt idx="4">
                  <v>28</v>
                </pt>
              </numCache>
            </numRef>
          </val>
          <smooth val="1"/>
        </ser>
        <ser>
          <idx val="2"/>
          <order val="2"/>
          <tx>
            <strRef>
              <f>지팡이!$E$147</f>
              <strCache>
                <ptCount val="1"/>
                <pt idx="0">
                  <v>E</v>
                </pt>
              </strCache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지팡이!$E$148:$E$152</f>
              <numCache>
                <formatCode>0.00</formatCode>
                <ptCount val="5"/>
                <pt idx="0">
                  <v>8.780487804878049</v>
                </pt>
                <pt idx="1">
                  <v>10.15384615384615</v>
                </pt>
                <pt idx="2">
                  <v>11.67567567567568</v>
                </pt>
                <pt idx="3">
                  <v>13.37142857142857</v>
                </pt>
                <pt idx="4">
                  <v>15.27272727272727</v>
                </pt>
              </numCache>
            </numRef>
          </val>
          <smooth val="1"/>
        </ser>
        <ser>
          <idx val="3"/>
          <order val="3"/>
          <tx>
            <strRef>
              <f>지팡이!$F$147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지팡이!$F$148:$F$152</f>
              <numCache>
                <formatCode>0.00</formatCode>
                <ptCount val="5"/>
                <pt idx="0">
                  <v>8.571428571428571</v>
                </pt>
                <pt idx="1">
                  <v>9.899999999999999</v>
                </pt>
                <pt idx="2">
                  <v>11.36842105263158</v>
                </pt>
                <pt idx="3">
                  <v>13</v>
                </pt>
                <pt idx="4">
                  <v>14.82352941176471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지팡이!$C$147</f>
              <strCache>
                <ptCount val="1"/>
                <pt idx="0">
                  <v>Q</v>
                </pt>
              </strCache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지팡이!$C$148:$C$152</f>
              <numCache>
                <formatCode>0.00</formatCode>
                <ptCount val="5"/>
                <pt idx="0">
                  <v>24</v>
                </pt>
                <pt idx="1">
                  <v>29.33333333333334</v>
                </pt>
                <pt idx="2">
                  <v>32</v>
                </pt>
                <pt idx="3">
                  <v>39</v>
                </pt>
                <pt idx="4">
                  <v>42</v>
                </pt>
              </numCache>
            </numRef>
          </val>
        </ser>
        <ser>
          <idx val="1"/>
          <order val="1"/>
          <tx>
            <strRef>
              <f>지팡이!$D$147</f>
              <strCache>
                <ptCount val="1"/>
                <pt idx="0">
                  <v>W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지팡이!$D$148:$D$152</f>
              <numCache>
                <formatCode>0.00</formatCode>
                <ptCount val="5"/>
                <pt idx="0">
                  <v>15</v>
                </pt>
                <pt idx="1">
                  <v>17.6</v>
                </pt>
                <pt idx="2">
                  <v>20.57142857142857</v>
                </pt>
                <pt idx="3">
                  <v>24</v>
                </pt>
                <pt idx="4">
                  <v>28</v>
                </pt>
              </numCache>
            </numRef>
          </val>
        </ser>
        <ser>
          <idx val="2"/>
          <order val="2"/>
          <tx>
            <strRef>
              <f>지팡이!$E$147</f>
              <strCache>
                <ptCount val="1"/>
                <pt idx="0">
                  <v>E</v>
                </pt>
              </strCache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지팡이!$E$148:$E$152</f>
              <numCache>
                <formatCode>0.00</formatCode>
                <ptCount val="5"/>
                <pt idx="0">
                  <v>8.780487804878049</v>
                </pt>
                <pt idx="1">
                  <v>10.15384615384615</v>
                </pt>
                <pt idx="2">
                  <v>11.67567567567568</v>
                </pt>
                <pt idx="3">
                  <v>13.37142857142857</v>
                </pt>
                <pt idx="4">
                  <v>15.27272727272727</v>
                </pt>
              </numCache>
            </numRef>
          </val>
        </ser>
        <ser>
          <idx val="3"/>
          <order val="3"/>
          <tx>
            <strRef>
              <f>지팡이!$F$147</f>
              <strCache>
                <ptCount val="1"/>
                <pt idx="0">
                  <v>R</v>
                </pt>
              </strCache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지팡이!$B$148:$B$152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지팡이!$F$148:$F$152</f>
              <numCache>
                <formatCode>0.00</formatCode>
                <ptCount val="5"/>
                <pt idx="0">
                  <v>8.571428571428571</v>
                </pt>
                <pt idx="1">
                  <v>9.899999999999999</v>
                </pt>
                <pt idx="2">
                  <v>11.36842105263158</v>
                </pt>
                <pt idx="3">
                  <v>13</v>
                </pt>
                <pt idx="4">
                  <v>14.82352941176471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단검!$C$99</f>
              <strCache>
                <ptCount val="1"/>
                <pt idx="0">
                  <v>Q</v>
                </pt>
              </strCache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단검!$C$100:$C$104</f>
              <numCache>
                <formatCode>0.00</formatCode>
                <ptCount val="5"/>
                <pt idx="0">
                  <v>18.85714285714286</v>
                </pt>
                <pt idx="1">
                  <v>22.33846153846154</v>
                </pt>
                <pt idx="2">
                  <v>26.4</v>
                </pt>
                <pt idx="3">
                  <v>31.2</v>
                </pt>
                <pt idx="4">
                  <v>36.96</v>
                </pt>
              </numCache>
            </numRef>
          </val>
          <smooth val="1"/>
        </ser>
        <ser>
          <idx val="1"/>
          <order val="1"/>
          <tx>
            <strRef>
              <f>단검!$D$99</f>
              <strCache>
                <ptCount val="1"/>
                <pt idx="0">
                  <v>W</v>
                </pt>
              </strCache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단검!$D$100:$D$104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2"/>
          <order val="2"/>
          <tx>
            <strRef>
              <f>단검!$E$99</f>
              <strCache>
                <ptCount val="1"/>
                <pt idx="0">
                  <v>E</v>
                </pt>
              </strCache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단검!$E$100:$E$104</f>
              <numCache>
                <formatCode>0.00</formatCode>
                <ptCount val="5"/>
                <pt idx="0">
                  <v>9.375</v>
                </pt>
                <pt idx="1">
                  <v>11</v>
                </pt>
                <pt idx="2">
                  <v>12.85714285714286</v>
                </pt>
                <pt idx="3">
                  <v>15</v>
                </pt>
                <pt idx="4">
                  <v>17.5</v>
                </pt>
              </numCache>
            </numRef>
          </val>
          <smooth val="1"/>
        </ser>
        <ser>
          <idx val="3"/>
          <order val="3"/>
          <tx>
            <strRef>
              <f>단검!$F$99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단검!$F$100:$F$104</f>
              <numCache>
                <formatCode>0.00</formatCode>
                <ptCount val="5"/>
                <pt idx="0">
                  <v>7.317073170731707</v>
                </pt>
                <pt idx="1">
                  <v>8.461538461538462</v>
                </pt>
                <pt idx="2">
                  <v>9.72972972972973</v>
                </pt>
                <pt idx="3">
                  <v>11.14285714285714</v>
                </pt>
                <pt idx="4">
                  <v>12.72727272727273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단검!$C$99</f>
              <strCache>
                <ptCount val="1"/>
                <pt idx="0">
                  <v>Q</v>
                </pt>
              </strCache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단검!$C$100:$C$104</f>
              <numCache>
                <formatCode>0.00</formatCode>
                <ptCount val="5"/>
                <pt idx="0">
                  <v>18.85714285714286</v>
                </pt>
                <pt idx="1">
                  <v>22.33846153846154</v>
                </pt>
                <pt idx="2">
                  <v>26.4</v>
                </pt>
                <pt idx="3">
                  <v>31.2</v>
                </pt>
                <pt idx="4">
                  <v>36.96</v>
                </pt>
              </numCache>
            </numRef>
          </val>
        </ser>
        <ser>
          <idx val="1"/>
          <order val="1"/>
          <tx>
            <strRef>
              <f>단검!$D$99</f>
              <strCache>
                <ptCount val="1"/>
                <pt idx="0">
                  <v>W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단검!$D$100:$D$104</f>
              <numCache>
                <formatCode>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단검!$E$99</f>
              <strCache>
                <ptCount val="1"/>
                <pt idx="0">
                  <v>E</v>
                </pt>
              </strCache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단검!$E$100:$E$104</f>
              <numCache>
                <formatCode>0.00</formatCode>
                <ptCount val="5"/>
                <pt idx="0">
                  <v>9.375</v>
                </pt>
                <pt idx="1">
                  <v>11</v>
                </pt>
                <pt idx="2">
                  <v>12.85714285714286</v>
                </pt>
                <pt idx="3">
                  <v>15</v>
                </pt>
                <pt idx="4">
                  <v>17.5</v>
                </pt>
              </numCache>
            </numRef>
          </val>
        </ser>
        <ser>
          <idx val="3"/>
          <order val="3"/>
          <tx>
            <strRef>
              <f>단검!$F$99</f>
              <strCache>
                <ptCount val="1"/>
                <pt idx="0">
                  <v>R</v>
                </pt>
              </strCache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단검!$B$100:$B$104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단검!$F$100:$F$104</f>
              <numCache>
                <formatCode>0.00</formatCode>
                <ptCount val="5"/>
                <pt idx="0">
                  <v>7.317073170731707</v>
                </pt>
                <pt idx="1">
                  <v>8.461538461538462</v>
                </pt>
                <pt idx="2">
                  <v>9.72972972972973</v>
                </pt>
                <pt idx="3">
                  <v>11.14285714285714</v>
                </pt>
                <pt idx="4">
                  <v>12.72727272727273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122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122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90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90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170</row>
      <rowOff>0</rowOff>
    </from>
    <ext cx="61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170</row>
      <rowOff>0</rowOff>
    </from>
    <ext cx="61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122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122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I15" sqref="I15"/>
    </sheetView>
  </sheetViews>
  <sheetFormatPr baseColWidth="8" defaultRowHeight="16.5"/>
  <cols>
    <col width="10.625" customWidth="1" style="133" min="1" max="1"/>
    <col width="12" customWidth="1" style="133" min="2" max="2"/>
    <col width="35" customWidth="1" style="133" min="3" max="3"/>
    <col width="15" customWidth="1" style="133" min="4" max="6"/>
    <col width="14" customWidth="1" style="133" min="7" max="7"/>
    <col width="13" customWidth="1" style="133" min="8" max="8"/>
  </cols>
  <sheetData>
    <row r="1" ht="36" customHeight="1" s="133">
      <c r="A1" s="116" t="inlineStr">
        <is>
          <t xml:space="preserve">  ⚔️  X7  무기별 스킬 밸런스  —  비교 개요</t>
        </is>
      </c>
      <c r="B1" s="114" t="n"/>
      <c r="C1" s="114" t="n"/>
      <c r="D1" s="114" t="n"/>
      <c r="E1" s="114" t="n"/>
      <c r="F1" s="114" t="n"/>
      <c r="G1" s="115" t="n"/>
    </row>
    <row r="3" ht="24" customHeight="1" s="133">
      <c r="A3" s="150" t="inlineStr">
        <is>
          <t xml:space="preserve">  📋  무기별 설계 컨셉</t>
        </is>
      </c>
      <c r="B3" s="114" t="n"/>
      <c r="C3" s="114" t="n"/>
      <c r="D3" s="114" t="n"/>
      <c r="E3" s="114" t="n"/>
      <c r="F3" s="114" t="n"/>
      <c r="G3" s="115" t="n"/>
    </row>
    <row r="4" ht="21.95" customHeight="1" s="133">
      <c r="A4" s="1" t="inlineStr">
        <is>
          <t>한손검</t>
        </is>
      </c>
      <c r="B4" s="151" t="inlineStr">
        <is>
          <t>방어 + 반격 스타일 — 버프·CC로 생존하며 안전한 타이밍에 강타</t>
        </is>
      </c>
      <c r="C4" s="114" t="n"/>
      <c r="D4" s="114" t="n"/>
      <c r="E4" s="114" t="n"/>
      <c r="F4" s="115" t="n"/>
    </row>
    <row r="5" ht="21.95" customHeight="1" s="133">
      <c r="A5" s="2" t="inlineStr">
        <is>
          <t>양손검</t>
        </is>
      </c>
      <c r="B5" s="152" t="inlineStr">
        <is>
          <t>파워 딜링 — 높은 계수 스킬로 짧은 시간에 대량 피해 집중</t>
        </is>
      </c>
      <c r="C5" s="114" t="n"/>
      <c r="D5" s="114" t="n"/>
      <c r="E5" s="114" t="n"/>
      <c r="F5" s="115" t="n"/>
    </row>
    <row r="6" ht="21.95" customHeight="1" s="133">
      <c r="A6" s="3" t="inlineStr">
        <is>
          <t>지팡이</t>
        </is>
      </c>
      <c r="B6" s="151" t="inlineStr">
        <is>
          <t>마법 컨트롤 — DoT·다중히트·CC로 딜링과 견제를 동시에 수행</t>
        </is>
      </c>
      <c r="C6" s="114" t="n"/>
      <c r="D6" s="114" t="n"/>
      <c r="E6" s="114" t="n"/>
      <c r="F6" s="115" t="n"/>
    </row>
    <row r="7" ht="21.95" customHeight="1" s="133">
      <c r="A7" s="4" t="inlineStr">
        <is>
          <t>단검</t>
        </is>
      </c>
      <c r="B7" s="152" t="inlineStr">
        <is>
          <t>속도 우선 — 낮은 쿨다운과 높은 타격 빈도로 지속 DPS 극대화</t>
        </is>
      </c>
      <c r="C7" s="114" t="n"/>
      <c r="D7" s="114" t="n"/>
      <c r="E7" s="114" t="n"/>
      <c r="F7" s="115" t="n"/>
    </row>
    <row r="8" ht="26.25" customHeight="1" s="133">
      <c r="A8" s="137" t="inlineStr">
        <is>
          <t>활</t>
        </is>
      </c>
      <c r="B8" t="inlineStr">
        <is>
          <t>원거리 치명타 — 충격 사격·연속 쏘기·급습·발묶음(CC)으로 원거리 딜링과 CC 특화</t>
        </is>
      </c>
    </row>
    <row r="9" ht="24" customHeight="1" s="133">
      <c r="A9" s="150" t="inlineStr">
        <is>
          <t xml:space="preserve">  📊  3번 스킬셋 Lv.1  커맨드별 1분 누적 피해 (배율×) — 차트 데이터</t>
        </is>
      </c>
      <c r="B9" s="114" t="n"/>
      <c r="C9" s="114" t="n"/>
      <c r="D9" s="114" t="n"/>
      <c r="E9" s="114" t="n"/>
      <c r="F9" s="114" t="n"/>
      <c r="G9" s="115" t="n"/>
    </row>
    <row r="10" ht="20.1" customHeight="1" s="133">
      <c r="A10" s="5" t="inlineStr">
        <is>
          <t>커맨드</t>
        </is>
      </c>
      <c r="B10" s="6" t="inlineStr">
        <is>
          <t>한손검</t>
        </is>
      </c>
      <c r="C10" s="7" t="inlineStr">
        <is>
          <t>양손검</t>
        </is>
      </c>
      <c r="D10" s="8" t="inlineStr">
        <is>
          <t>지팡이</t>
        </is>
      </c>
      <c r="E10" s="9" t="inlineStr">
        <is>
          <t>단검</t>
        </is>
      </c>
      <c r="F10" s="10" t="inlineStr">
        <is>
          <t>활</t>
        </is>
      </c>
      <c r="G10" t="inlineStr">
        <is>
          <t>최고</t>
        </is>
      </c>
    </row>
    <row r="11" ht="20.1" customHeight="1" s="133">
      <c r="A11" s="11" t="inlineStr">
        <is>
          <t>Q</t>
        </is>
      </c>
      <c r="B11" s="12" t="n">
        <v>24</v>
      </c>
      <c r="C11" s="12" t="n">
        <v>24</v>
      </c>
      <c r="D11" s="12" t="n">
        <v>40</v>
      </c>
      <c r="E11" s="12" t="n">
        <v>18</v>
      </c>
      <c r="F11" s="13" t="n">
        <v>24</v>
      </c>
      <c r="G11" t="n">
        <v>40</v>
      </c>
    </row>
    <row r="12" ht="20.1" customHeight="1" s="133">
      <c r="A12" s="14" t="inlineStr">
        <is>
          <t>W</t>
        </is>
      </c>
      <c r="B12" s="15" t="n">
        <v>0</v>
      </c>
      <c r="C12" s="15" t="n">
        <v>12.5</v>
      </c>
      <c r="D12" s="15" t="n">
        <v>16</v>
      </c>
      <c r="E12" s="15" t="n">
        <v>0</v>
      </c>
      <c r="F12" s="13" t="n">
        <v>13</v>
      </c>
      <c r="G12" t="n">
        <v>16</v>
      </c>
    </row>
    <row r="13" ht="20.1" customHeight="1" s="133">
      <c r="A13" s="16" t="inlineStr">
        <is>
          <t>E</t>
        </is>
      </c>
      <c r="B13" s="17" t="n">
        <v>12</v>
      </c>
      <c r="C13" s="17" t="n">
        <v>12</v>
      </c>
      <c r="D13" s="17" t="n">
        <v>9</v>
      </c>
      <c r="E13" s="17" t="n">
        <v>12</v>
      </c>
      <c r="F13" s="13" t="n">
        <v>10</v>
      </c>
      <c r="G13" t="n">
        <v>12</v>
      </c>
    </row>
    <row r="14" ht="20.1" customHeight="1" s="133">
      <c r="A14" s="18" t="inlineStr">
        <is>
          <t>R</t>
        </is>
      </c>
      <c r="B14" s="19" t="n">
        <v>6</v>
      </c>
      <c r="C14" s="19" t="n">
        <v>6</v>
      </c>
      <c r="D14" s="19" t="n">
        <v>0</v>
      </c>
      <c r="E14" s="19" t="n">
        <v>0</v>
      </c>
      <c r="F14" s="13" t="n">
        <v>7</v>
      </c>
      <c r="G14" t="n">
        <v>7</v>
      </c>
    </row>
    <row r="16" ht="24" customHeight="1" s="133">
      <c r="A16" s="150" t="inlineStr">
        <is>
          <t xml:space="preserve">  📈  무기별 스킬 밸런스 비교 차트</t>
        </is>
      </c>
      <c r="B16" s="114" t="n"/>
      <c r="C16" s="114" t="n"/>
      <c r="D16" s="114" t="n"/>
      <c r="E16" s="114" t="n"/>
      <c r="F16" s="114" t="n"/>
      <c r="G16" s="115" t="n"/>
    </row>
  </sheetData>
  <mergeCells count="8">
    <mergeCell ref="B4:F4"/>
    <mergeCell ref="B7:F7"/>
    <mergeCell ref="A1:G1"/>
    <mergeCell ref="B6:F6"/>
    <mergeCell ref="A9:G9"/>
    <mergeCell ref="A3:G3"/>
    <mergeCell ref="B5:F5"/>
    <mergeCell ref="A16:G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98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6" customWidth="1" style="133" min="2" max="2"/>
    <col width="5" customWidth="1" style="133" min="3" max="3"/>
    <col width="9" customWidth="1" style="133" min="4" max="5"/>
    <col width="14" customWidth="1" style="133" min="6" max="6"/>
    <col width="12" customWidth="1" style="133" min="7" max="7"/>
    <col width="36" customWidth="1" style="133" min="8" max="8"/>
    <col width="9" customWidth="1" style="133" min="9" max="10"/>
    <col width="12" customWidth="1" style="133" min="11" max="12"/>
  </cols>
  <sheetData>
    <row r="1" ht="30" customHeight="1" s="133">
      <c r="B1" s="123" t="inlineStr">
        <is>
          <t>X7  한손검  스킬 밸런스</t>
        </is>
      </c>
      <c r="C1" s="114" t="n"/>
      <c r="D1" s="114" t="n"/>
      <c r="E1" s="114" t="n"/>
      <c r="F1" s="114" t="n"/>
      <c r="G1" s="114" t="n"/>
      <c r="H1" s="114" t="n"/>
      <c r="I1" s="114" t="n"/>
      <c r="J1" s="114" t="n"/>
      <c r="K1" s="114" t="n"/>
      <c r="L1" s="114" t="n"/>
      <c r="M1" s="115" t="n"/>
    </row>
    <row r="2">
      <c r="B2" s="117" t="inlineStr">
        <is>
          <t>방패 + 반격 스타일의 근접 전사 — 방어와 CC를 활용해 적을 제압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5" t="n"/>
    </row>
    <row r="4" ht="21.95" customHeight="1" s="133">
      <c r="B4" s="125" t="inlineStr">
        <is>
          <t>▶ 1번 스킬셋  |  Lv.1 데이터만 확보 (Lv.2~5 편집 필요)</t>
        </is>
      </c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5" t="n"/>
    </row>
    <row r="5">
      <c r="B5" s="122" t="inlineStr">
        <is>
          <t>커맨드</t>
        </is>
      </c>
      <c r="C5" s="122" t="inlineStr">
        <is>
          <t>스킬명</t>
        </is>
      </c>
      <c r="D5" s="122" t="inlineStr">
        <is>
          <t>유형</t>
        </is>
      </c>
      <c r="E5" s="122" t="inlineStr">
        <is>
          <t>설명</t>
        </is>
      </c>
      <c r="F5" s="114" t="n"/>
      <c r="G5" s="114" t="n"/>
      <c r="H5" s="114" t="n"/>
      <c r="I5" s="114" t="n"/>
      <c r="J5" s="114" t="n"/>
      <c r="K5" s="114" t="n"/>
      <c r="L5" s="114" t="n"/>
      <c r="M5" s="115" t="n"/>
    </row>
    <row r="6" ht="18" customHeight="1" s="133">
      <c r="B6" s="21" t="inlineStr">
        <is>
          <t>Q</t>
        </is>
      </c>
      <c r="C6" s="22" t="inlineStr">
        <is>
          <t>휘두르기</t>
        </is>
      </c>
      <c r="D6" s="22" t="inlineStr">
        <is>
          <t>방향 공격</t>
        </is>
      </c>
      <c r="E6" s="124" t="inlineStr">
        <is>
          <t>방패를 들어 방어하다가 공격에 반격합니다.</t>
        </is>
      </c>
      <c r="F6" s="114" t="n"/>
      <c r="G6" s="114" t="n"/>
      <c r="H6" s="114" t="n"/>
      <c r="I6" s="114" t="n"/>
      <c r="J6" s="114" t="n"/>
      <c r="K6" s="114" t="n"/>
      <c r="L6" s="114" t="n"/>
      <c r="M6" s="115" t="n"/>
    </row>
    <row r="7" ht="18" customHeight="1" s="133">
      <c r="B7" s="23" t="inlineStr">
        <is>
          <t>W</t>
        </is>
      </c>
      <c r="C7" s="24" t="inlineStr">
        <is>
          <t>방패 돌진</t>
        </is>
      </c>
      <c r="D7" s="24" t="inlineStr">
        <is>
          <t>단일 공격</t>
        </is>
      </c>
      <c r="E7" s="126" t="inlineStr">
        <is>
          <t>방패로 적에게 돌진하여 피해를 입힙니다.</t>
        </is>
      </c>
      <c r="F7" s="114" t="n"/>
      <c r="G7" s="114" t="n"/>
      <c r="H7" s="114" t="n"/>
      <c r="I7" s="114" t="n"/>
      <c r="J7" s="114" t="n"/>
      <c r="K7" s="114" t="n"/>
      <c r="L7" s="114" t="n"/>
      <c r="M7" s="115" t="n"/>
    </row>
    <row r="8" ht="18" customHeight="1" s="133">
      <c r="B8" s="25" t="inlineStr">
        <is>
          <t>E</t>
        </is>
      </c>
      <c r="C8" s="26" t="inlineStr">
        <is>
          <t>방패 투척</t>
        </is>
      </c>
      <c r="D8" s="26" t="inlineStr">
        <is>
          <t>방향 공격</t>
        </is>
      </c>
      <c r="E8" s="120" t="inlineStr">
        <is>
          <t>방패를 투척하여 피해를 입힙니다.</t>
        </is>
      </c>
      <c r="F8" s="114" t="n"/>
      <c r="G8" s="114" t="n"/>
      <c r="H8" s="114" t="n"/>
      <c r="I8" s="114" t="n"/>
      <c r="J8" s="114" t="n"/>
      <c r="K8" s="114" t="n"/>
      <c r="L8" s="114" t="n"/>
      <c r="M8" s="115" t="n"/>
    </row>
    <row r="9" ht="18" customHeight="1" s="133">
      <c r="B9" s="27" t="inlineStr">
        <is>
          <t>R</t>
        </is>
      </c>
      <c r="C9" s="28" t="inlineStr">
        <is>
          <t>파멸의 징벌</t>
        </is>
      </c>
      <c r="D9" s="28" t="inlineStr">
        <is>
          <t>범위 공격 (위치 지정, max5)</t>
        </is>
      </c>
      <c r="E9" s="121" t="inlineStr">
        <is>
          <t>지정 위치 반경 300에 충격을 가해 최대 5대상에게 피해를 입힙니다.</t>
        </is>
      </c>
      <c r="F9" s="114" t="n"/>
      <c r="G9" s="114" t="n"/>
      <c r="H9" s="114" t="n"/>
      <c r="I9" s="114" t="n"/>
      <c r="J9" s="114" t="n"/>
      <c r="K9" s="114" t="n"/>
      <c r="L9" s="114" t="n"/>
      <c r="M9" s="115" t="n"/>
    </row>
    <row r="11">
      <c r="B11" s="118" t="inlineStr">
        <is>
          <t>⚔️ 스킬 강화 정보 — 1번 스킬셋</t>
        </is>
      </c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5" t="n"/>
    </row>
    <row r="12" ht="30" customHeight="1" s="133">
      <c r="B12" s="130" t="inlineStr">
        <is>
          <t>커맨드</t>
        </is>
      </c>
      <c r="C12" s="130" t="inlineStr">
        <is>
          <t>레벨</t>
        </is>
      </c>
      <c r="D12" s="130" t="inlineStr">
        <is>
          <t>쿨타임(s)</t>
        </is>
      </c>
      <c r="E12" s="130" t="inlineStr">
        <is>
          <t>마나소모</t>
        </is>
      </c>
      <c r="F12" s="130" t="inlineStr">
        <is>
          <t>공격유형</t>
        </is>
      </c>
      <c r="G12" s="130" t="inlineStr">
        <is>
          <t>피해량(배율)</t>
        </is>
      </c>
      <c r="H12" s="130" t="inlineStr">
        <is>
          <t>버프/디버프</t>
        </is>
      </c>
      <c r="I12" s="130" t="inlineStr">
        <is>
          <t>DPS</t>
        </is>
      </c>
      <c r="J12" s="130" t="inlineStr">
        <is>
          <t>분당횟수</t>
        </is>
      </c>
      <c r="K12" s="130" t="inlineStr">
        <is>
          <t>1분누적피해</t>
        </is>
      </c>
      <c r="L12" s="130" t="inlineStr">
        <is>
          <t>1분마나소모</t>
        </is>
      </c>
    </row>
    <row r="13">
      <c r="B13" s="22" t="inlineStr">
        <is>
          <t>Q</t>
        </is>
      </c>
      <c r="C13" s="21" t="n">
        <v>1</v>
      </c>
      <c r="D13" s="21" t="n">
        <v>6</v>
      </c>
      <c r="E13" s="21" t="n">
        <v>10</v>
      </c>
      <c r="F13" s="21" t="inlineStr">
        <is>
          <t>방향 공격</t>
        </is>
      </c>
      <c r="G13" s="21" t="n">
        <v>2.25</v>
      </c>
      <c r="H13" s="21" t="n"/>
      <c r="I13" s="30">
        <f>G13/(D13+1)</f>
        <v/>
      </c>
      <c r="J13" s="153">
        <f>60/(D13+1)</f>
        <v/>
      </c>
      <c r="K13" s="30">
        <f>J13*G13</f>
        <v/>
      </c>
      <c r="L13" s="32">
        <f>J13*E13</f>
        <v/>
      </c>
    </row>
    <row r="14">
      <c r="B14" s="33" t="n"/>
      <c r="C14" s="34" t="n">
        <v>2</v>
      </c>
      <c r="D14" s="34" t="n">
        <v>6</v>
      </c>
      <c r="E14" s="34" t="n">
        <v>10</v>
      </c>
      <c r="F14" s="34" t="inlineStr">
        <is>
          <t>방향 공격</t>
        </is>
      </c>
      <c r="G14" s="34" t="n">
        <v>2.25</v>
      </c>
      <c r="H14" s="34" t="n"/>
      <c r="I14" s="35">
        <f>G14/(D14+1)</f>
        <v/>
      </c>
      <c r="J14" s="154">
        <f>60/(D14+1)</f>
        <v/>
      </c>
      <c r="K14" s="35">
        <f>J14*G14</f>
        <v/>
      </c>
      <c r="L14" s="37">
        <f>J14*E14</f>
        <v/>
      </c>
    </row>
    <row r="15">
      <c r="B15" s="33" t="n"/>
      <c r="C15" s="34" t="n">
        <v>3</v>
      </c>
      <c r="D15" s="34" t="n">
        <v>6</v>
      </c>
      <c r="E15" s="34" t="n">
        <v>10</v>
      </c>
      <c r="F15" s="34" t="inlineStr">
        <is>
          <t>방향 공격</t>
        </is>
      </c>
      <c r="G15" s="34" t="n">
        <v>2.25</v>
      </c>
      <c r="H15" s="34" t="n"/>
      <c r="I15" s="35">
        <f>G15/(D15+1)</f>
        <v/>
      </c>
      <c r="J15" s="154">
        <f>60/(D15+1)</f>
        <v/>
      </c>
      <c r="K15" s="35">
        <f>J15*G15</f>
        <v/>
      </c>
      <c r="L15" s="37">
        <f>J15*E15</f>
        <v/>
      </c>
    </row>
    <row r="16">
      <c r="B16" s="33" t="n"/>
      <c r="C16" s="34" t="n">
        <v>4</v>
      </c>
      <c r="D16" s="34" t="n">
        <v>6</v>
      </c>
      <c r="E16" s="34" t="n">
        <v>10</v>
      </c>
      <c r="F16" s="34" t="inlineStr">
        <is>
          <t>방향 공격</t>
        </is>
      </c>
      <c r="G16" s="34" t="n">
        <v>2.25</v>
      </c>
      <c r="H16" s="34" t="n"/>
      <c r="I16" s="35">
        <f>G16/(D16+1)</f>
        <v/>
      </c>
      <c r="J16" s="154">
        <f>60/(D16+1)</f>
        <v/>
      </c>
      <c r="K16" s="35">
        <f>J16*G16</f>
        <v/>
      </c>
      <c r="L16" s="37">
        <f>J16*E16</f>
        <v/>
      </c>
    </row>
    <row r="17">
      <c r="B17" s="33" t="n"/>
      <c r="C17" s="34" t="n">
        <v>5</v>
      </c>
      <c r="D17" s="34" t="n">
        <v>6</v>
      </c>
      <c r="E17" s="34" t="n">
        <v>10</v>
      </c>
      <c r="F17" s="34" t="inlineStr">
        <is>
          <t>방향 공격</t>
        </is>
      </c>
      <c r="G17" s="34" t="n">
        <v>2.25</v>
      </c>
      <c r="H17" s="34" t="n"/>
      <c r="I17" s="35">
        <f>G17/(D17+1)</f>
        <v/>
      </c>
      <c r="J17" s="154">
        <f>60/(D17+1)</f>
        <v/>
      </c>
      <c r="K17" s="35">
        <f>J17*G17</f>
        <v/>
      </c>
      <c r="L17" s="37">
        <f>J17*E17</f>
        <v/>
      </c>
    </row>
    <row r="18">
      <c r="B18" s="24" t="inlineStr">
        <is>
          <t>W</t>
        </is>
      </c>
      <c r="C18" s="23" t="n">
        <v>1</v>
      </c>
      <c r="D18" s="23" t="n">
        <v>12</v>
      </c>
      <c r="E18" s="23" t="n">
        <v>25</v>
      </c>
      <c r="F18" s="23" t="inlineStr">
        <is>
          <t>단일 공격</t>
        </is>
      </c>
      <c r="G18" s="23" t="n">
        <v>2</v>
      </c>
      <c r="H18" s="23" t="n"/>
      <c r="I18" s="23">
        <f>G18/(D18+1)</f>
        <v/>
      </c>
      <c r="J18" s="23">
        <f>60/(D18+1)</f>
        <v/>
      </c>
      <c r="K18" s="23">
        <f>J18*G18</f>
        <v/>
      </c>
      <c r="L18" s="23">
        <f>J18*E18</f>
        <v/>
      </c>
    </row>
    <row r="19">
      <c r="B19" s="38" t="n"/>
      <c r="C19" s="39" t="n">
        <v>2</v>
      </c>
      <c r="D19" s="39" t="n">
        <v>12</v>
      </c>
      <c r="E19" s="39" t="n">
        <v>25</v>
      </c>
      <c r="F19" s="39" t="inlineStr">
        <is>
          <t>단일 공격</t>
        </is>
      </c>
      <c r="G19" s="39" t="n">
        <v>2</v>
      </c>
      <c r="H19" s="39" t="n"/>
      <c r="I19" s="40">
        <f>G19/(D19+1)</f>
        <v/>
      </c>
      <c r="J19" s="40">
        <f>60/(D19+1)</f>
        <v/>
      </c>
      <c r="K19" s="40">
        <f>J19*G19</f>
        <v/>
      </c>
      <c r="L19" s="40">
        <f>J19*E19</f>
        <v/>
      </c>
    </row>
    <row r="20">
      <c r="B20" s="38" t="n"/>
      <c r="C20" s="39" t="n">
        <v>3</v>
      </c>
      <c r="D20" s="39" t="n">
        <v>12</v>
      </c>
      <c r="E20" s="39" t="n">
        <v>25</v>
      </c>
      <c r="F20" s="39" t="inlineStr">
        <is>
          <t>단일 공격</t>
        </is>
      </c>
      <c r="G20" s="39" t="n">
        <v>2</v>
      </c>
      <c r="H20" s="39" t="n"/>
      <c r="I20" s="40">
        <f>G20/(D20+1)</f>
        <v/>
      </c>
      <c r="J20" s="40">
        <f>60/(D20+1)</f>
        <v/>
      </c>
      <c r="K20" s="40">
        <f>J20*G20</f>
        <v/>
      </c>
      <c r="L20" s="40">
        <f>J20*E20</f>
        <v/>
      </c>
    </row>
    <row r="21">
      <c r="B21" s="38" t="n"/>
      <c r="C21" s="39" t="n">
        <v>4</v>
      </c>
      <c r="D21" s="39" t="n">
        <v>12</v>
      </c>
      <c r="E21" s="39" t="n">
        <v>25</v>
      </c>
      <c r="F21" s="39" t="inlineStr">
        <is>
          <t>단일 공격</t>
        </is>
      </c>
      <c r="G21" s="39" t="n">
        <v>2</v>
      </c>
      <c r="H21" s="39" t="n"/>
      <c r="I21" s="40">
        <f>G21/(D21+1)</f>
        <v/>
      </c>
      <c r="J21" s="40">
        <f>60/(D21+1)</f>
        <v/>
      </c>
      <c r="K21" s="40">
        <f>J21*G21</f>
        <v/>
      </c>
      <c r="L21" s="40">
        <f>J21*E21</f>
        <v/>
      </c>
    </row>
    <row r="22">
      <c r="B22" s="38" t="n"/>
      <c r="C22" s="39" t="n">
        <v>5</v>
      </c>
      <c r="D22" s="39" t="n">
        <v>12</v>
      </c>
      <c r="E22" s="39" t="n">
        <v>25</v>
      </c>
      <c r="F22" s="39" t="inlineStr">
        <is>
          <t>단일 공격</t>
        </is>
      </c>
      <c r="G22" s="39" t="n">
        <v>2</v>
      </c>
      <c r="H22" s="39" t="n"/>
      <c r="I22" s="40">
        <f>G22/(D22+1)</f>
        <v/>
      </c>
      <c r="J22" s="40">
        <f>60/(D22+1)</f>
        <v/>
      </c>
      <c r="K22" s="40">
        <f>J22*G22</f>
        <v/>
      </c>
      <c r="L22" s="40">
        <f>J22*E22</f>
        <v/>
      </c>
    </row>
    <row r="23">
      <c r="B23" s="26" t="inlineStr">
        <is>
          <t>E</t>
        </is>
      </c>
      <c r="C23" s="25" t="n">
        <v>1</v>
      </c>
      <c r="D23" s="25" t="n">
        <v>20</v>
      </c>
      <c r="E23" s="25" t="n">
        <v>45</v>
      </c>
      <c r="F23" s="25" t="inlineStr">
        <is>
          <t>방향 공격</t>
        </is>
      </c>
      <c r="G23" s="25" t="n">
        <v>2</v>
      </c>
      <c r="H23" s="25" t="n"/>
      <c r="I23" s="41">
        <f>G23/(D23+1)</f>
        <v/>
      </c>
      <c r="J23" s="155">
        <f>60/(D23+1)</f>
        <v/>
      </c>
      <c r="K23" s="41">
        <f>J23*G23</f>
        <v/>
      </c>
      <c r="L23" s="43">
        <f>J23*E23</f>
        <v/>
      </c>
    </row>
    <row r="24">
      <c r="B24" s="44" t="n"/>
      <c r="C24" s="45" t="n">
        <v>2</v>
      </c>
      <c r="D24" s="45" t="n">
        <v>20</v>
      </c>
      <c r="E24" s="45" t="n">
        <v>45</v>
      </c>
      <c r="F24" s="45" t="inlineStr">
        <is>
          <t>방향 공격</t>
        </is>
      </c>
      <c r="G24" s="45" t="n">
        <v>2</v>
      </c>
      <c r="H24" s="45" t="n"/>
      <c r="I24" s="46">
        <f>G24/(D24+1)</f>
        <v/>
      </c>
      <c r="J24" s="156">
        <f>60/(D24+1)</f>
        <v/>
      </c>
      <c r="K24" s="46">
        <f>J24*G24</f>
        <v/>
      </c>
      <c r="L24" s="48">
        <f>J24*E24</f>
        <v/>
      </c>
    </row>
    <row r="25">
      <c r="B25" s="44" t="n"/>
      <c r="C25" s="45" t="n">
        <v>3</v>
      </c>
      <c r="D25" s="45" t="n">
        <v>20</v>
      </c>
      <c r="E25" s="45" t="n">
        <v>45</v>
      </c>
      <c r="F25" s="45" t="inlineStr">
        <is>
          <t>방향 공격</t>
        </is>
      </c>
      <c r="G25" s="45" t="n">
        <v>2</v>
      </c>
      <c r="H25" s="45" t="n"/>
      <c r="I25" s="46">
        <f>G25/(D25+1)</f>
        <v/>
      </c>
      <c r="J25" s="156">
        <f>60/(D25+1)</f>
        <v/>
      </c>
      <c r="K25" s="46">
        <f>J25*G25</f>
        <v/>
      </c>
      <c r="L25" s="48">
        <f>J25*E25</f>
        <v/>
      </c>
    </row>
    <row r="26">
      <c r="B26" s="44" t="n"/>
      <c r="C26" s="45" t="n">
        <v>4</v>
      </c>
      <c r="D26" s="45" t="n">
        <v>20</v>
      </c>
      <c r="E26" s="45" t="n">
        <v>45</v>
      </c>
      <c r="F26" s="45" t="inlineStr">
        <is>
          <t>방향 공격</t>
        </is>
      </c>
      <c r="G26" s="45" t="n">
        <v>2</v>
      </c>
      <c r="H26" s="45" t="n"/>
      <c r="I26" s="46">
        <f>G26/(D26+1)</f>
        <v/>
      </c>
      <c r="J26" s="156">
        <f>60/(D26+1)</f>
        <v/>
      </c>
      <c r="K26" s="46">
        <f>J26*G26</f>
        <v/>
      </c>
      <c r="L26" s="48">
        <f>J26*E26</f>
        <v/>
      </c>
    </row>
    <row r="27">
      <c r="B27" s="44" t="n"/>
      <c r="C27" s="45" t="n">
        <v>5</v>
      </c>
      <c r="D27" s="45" t="n">
        <v>20</v>
      </c>
      <c r="E27" s="45" t="n">
        <v>45</v>
      </c>
      <c r="F27" s="45" t="inlineStr">
        <is>
          <t>방향 공격</t>
        </is>
      </c>
      <c r="G27" s="45" t="n">
        <v>2</v>
      </c>
      <c r="H27" s="45" t="n"/>
      <c r="I27" s="46">
        <f>G27/(D27+1)</f>
        <v/>
      </c>
      <c r="J27" s="156">
        <f>60/(D27+1)</f>
        <v/>
      </c>
      <c r="K27" s="46">
        <f>J27*G27</f>
        <v/>
      </c>
      <c r="L27" s="48">
        <f>J27*E27</f>
        <v/>
      </c>
    </row>
    <row r="28">
      <c r="B28" s="28" t="inlineStr">
        <is>
          <t>R</t>
        </is>
      </c>
      <c r="C28" s="27" t="n">
        <v>1</v>
      </c>
      <c r="D28" s="27" t="n">
        <v>45</v>
      </c>
      <c r="E28" s="27" t="n">
        <v>150</v>
      </c>
      <c r="F28" s="27" t="inlineStr">
        <is>
          <t>범위 공격 (위치 지정, max5)</t>
        </is>
      </c>
      <c r="G28" s="27" t="n">
        <v>4</v>
      </c>
      <c r="H28" s="27" t="n"/>
      <c r="I28" s="49">
        <f>G28/(D28+1)</f>
        <v/>
      </c>
      <c r="J28" s="157">
        <f>60/(D28+1)</f>
        <v/>
      </c>
      <c r="K28" s="49">
        <f>J28*G28</f>
        <v/>
      </c>
      <c r="L28" s="51">
        <f>J28*E28</f>
        <v/>
      </c>
    </row>
    <row r="29">
      <c r="B29" s="52" t="n"/>
      <c r="C29" s="53" t="n">
        <v>2</v>
      </c>
      <c r="D29" s="53" t="n">
        <v>45</v>
      </c>
      <c r="E29" s="53" t="n">
        <v>150</v>
      </c>
      <c r="F29" s="53" t="inlineStr">
        <is>
          <t>범위 공격 (위치 지정, max5)</t>
        </is>
      </c>
      <c r="G29" s="53" t="n">
        <v>4</v>
      </c>
      <c r="H29" s="53" t="n"/>
      <c r="I29" s="54">
        <f>G29/(D29+1)</f>
        <v/>
      </c>
      <c r="J29" s="158">
        <f>60/(D29+1)</f>
        <v/>
      </c>
      <c r="K29" s="54">
        <f>J29*G29</f>
        <v/>
      </c>
      <c r="L29" s="56">
        <f>J29*E29</f>
        <v/>
      </c>
    </row>
    <row r="30">
      <c r="B30" s="52" t="n"/>
      <c r="C30" s="53" t="n">
        <v>3</v>
      </c>
      <c r="D30" s="53" t="n">
        <v>45</v>
      </c>
      <c r="E30" s="53" t="n">
        <v>150</v>
      </c>
      <c r="F30" s="53" t="inlineStr">
        <is>
          <t>범위 공격 (위치 지정, max5)</t>
        </is>
      </c>
      <c r="G30" s="53" t="n">
        <v>4</v>
      </c>
      <c r="H30" s="53" t="n"/>
      <c r="I30" s="54">
        <f>G30/(D30+1)</f>
        <v/>
      </c>
      <c r="J30" s="158">
        <f>60/(D30+1)</f>
        <v/>
      </c>
      <c r="K30" s="54">
        <f>J30*G30</f>
        <v/>
      </c>
      <c r="L30" s="56">
        <f>J30*E30</f>
        <v/>
      </c>
    </row>
    <row r="31">
      <c r="B31" s="52" t="n"/>
      <c r="C31" s="53" t="n">
        <v>4</v>
      </c>
      <c r="D31" s="53" t="n">
        <v>45</v>
      </c>
      <c r="E31" s="53" t="n">
        <v>150</v>
      </c>
      <c r="F31" s="53" t="inlineStr">
        <is>
          <t>범위 공격 (위치 지정, max5)</t>
        </is>
      </c>
      <c r="G31" s="53" t="n">
        <v>4</v>
      </c>
      <c r="H31" s="53" t="n"/>
      <c r="I31" s="54">
        <f>G31/(D31+1)</f>
        <v/>
      </c>
      <c r="J31" s="158">
        <f>60/(D31+1)</f>
        <v/>
      </c>
      <c r="K31" s="54">
        <f>J31*G31</f>
        <v/>
      </c>
      <c r="L31" s="56">
        <f>J31*E31</f>
        <v/>
      </c>
    </row>
    <row r="32">
      <c r="B32" s="52" t="n"/>
      <c r="C32" s="53" t="n">
        <v>5</v>
      </c>
      <c r="D32" s="53" t="n">
        <v>45</v>
      </c>
      <c r="E32" s="53" t="n">
        <v>150</v>
      </c>
      <c r="F32" s="53" t="inlineStr">
        <is>
          <t>범위 공격 (위치 지정, max5)</t>
        </is>
      </c>
      <c r="G32" s="53" t="n">
        <v>4</v>
      </c>
      <c r="H32" s="53" t="n"/>
      <c r="I32" s="54">
        <f>G32/(D32+1)</f>
        <v/>
      </c>
      <c r="J32" s="158">
        <f>60/(D32+1)</f>
        <v/>
      </c>
      <c r="K32" s="54">
        <f>J32*G32</f>
        <v/>
      </c>
      <c r="L32" s="56">
        <f>J32*E32</f>
        <v/>
      </c>
    </row>
    <row r="34">
      <c r="B3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5" t="n"/>
    </row>
    <row r="36" ht="21.95" customHeight="1" s="133">
      <c r="B36" s="125" t="inlineStr">
        <is>
          <t>▶ 2번 스킬셋  |  Lv.1 데이터만 확보 (Lv.2~5 편집 필요)</t>
        </is>
      </c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5" t="n"/>
    </row>
    <row r="37">
      <c r="B37" s="122" t="inlineStr">
        <is>
          <t>커맨드</t>
        </is>
      </c>
      <c r="C37" s="122" t="inlineStr">
        <is>
          <t>스킬명</t>
        </is>
      </c>
      <c r="D37" s="122" t="inlineStr">
        <is>
          <t>유형</t>
        </is>
      </c>
      <c r="E37" s="122" t="inlineStr">
        <is>
          <t>설명</t>
        </is>
      </c>
      <c r="F37" s="114" t="n"/>
      <c r="G37" s="114" t="n"/>
      <c r="H37" s="114" t="n"/>
      <c r="I37" s="114" t="n"/>
      <c r="J37" s="114" t="n"/>
      <c r="K37" s="114" t="n"/>
      <c r="L37" s="114" t="n"/>
      <c r="M37" s="115" t="n"/>
    </row>
    <row r="38" ht="18" customHeight="1" s="133">
      <c r="B38" s="21" t="inlineStr">
        <is>
          <t>Q</t>
        </is>
      </c>
      <c r="C38" s="22" t="inlineStr">
        <is>
          <t>제압</t>
        </is>
      </c>
      <c r="D38" s="22" t="inlineStr">
        <is>
          <t>단일 대상</t>
        </is>
      </c>
      <c r="E38" s="124" t="inlineStr">
        <is>
          <t>적을 제압하여 피해를 입힙니다.</t>
        </is>
      </c>
      <c r="F38" s="114" t="n"/>
      <c r="G38" s="114" t="n"/>
      <c r="H38" s="114" t="n"/>
      <c r="I38" s="114" t="n"/>
      <c r="J38" s="114" t="n"/>
      <c r="K38" s="114" t="n"/>
      <c r="L38" s="114" t="n"/>
      <c r="M38" s="115" t="n"/>
    </row>
    <row r="39" ht="18" customHeight="1" s="133">
      <c r="B39" s="23" t="inlineStr">
        <is>
          <t>W</t>
        </is>
      </c>
      <c r="C39" s="24" t="inlineStr">
        <is>
          <t>복수의 갑옷</t>
        </is>
      </c>
      <c r="D39" s="24" t="inlineStr">
        <is>
          <t>버프</t>
        </is>
      </c>
      <c r="E39" s="126" t="inlineStr">
        <is>
          <t>복수의 갑옷을 두릅니다. (방어력 강화)</t>
        </is>
      </c>
      <c r="F39" s="114" t="n"/>
      <c r="G39" s="114" t="n"/>
      <c r="H39" s="114" t="n"/>
      <c r="I39" s="114" t="n"/>
      <c r="J39" s="114" t="n"/>
      <c r="K39" s="114" t="n"/>
      <c r="L39" s="114" t="n"/>
      <c r="M39" s="115" t="n"/>
    </row>
    <row r="40" ht="18" customHeight="1" s="133">
      <c r="B40" s="25" t="inlineStr">
        <is>
          <t>E</t>
        </is>
      </c>
      <c r="C40" s="26" t="inlineStr">
        <is>
          <t>모두 쉿</t>
        </is>
      </c>
      <c r="D40" s="26" t="inlineStr">
        <is>
          <t>자기중심 광역 (CC)</t>
        </is>
      </c>
      <c r="E40" s="120" t="inlineStr">
        <is>
          <t>주변 적에게 침묵을 걸어 스킬 사용을 막습니다.</t>
        </is>
      </c>
      <c r="F40" s="114" t="n"/>
      <c r="G40" s="114" t="n"/>
      <c r="H40" s="114" t="n"/>
      <c r="I40" s="114" t="n"/>
      <c r="J40" s="114" t="n"/>
      <c r="K40" s="114" t="n"/>
      <c r="L40" s="114" t="n"/>
      <c r="M40" s="115" t="n"/>
    </row>
    <row r="41" ht="18" customHeight="1" s="133">
      <c r="B41" s="27" t="inlineStr">
        <is>
          <t>R</t>
        </is>
      </c>
      <c r="C41" s="28" t="inlineStr">
        <is>
          <t>진공 폭발</t>
        </is>
      </c>
      <c r="D41" s="28" t="inlineStr">
        <is>
          <t>자기중심 광역</t>
        </is>
      </c>
      <c r="E41" s="121" t="inlineStr">
        <is>
          <t>강력한 진공 폭발로 피해를 입힙니다.</t>
        </is>
      </c>
      <c r="F41" s="114" t="n"/>
      <c r="G41" s="114" t="n"/>
      <c r="H41" s="114" t="n"/>
      <c r="I41" s="114" t="n"/>
      <c r="J41" s="114" t="n"/>
      <c r="K41" s="114" t="n"/>
      <c r="L41" s="114" t="n"/>
      <c r="M41" s="115" t="n"/>
    </row>
    <row r="43">
      <c r="B43" s="118" t="inlineStr">
        <is>
          <t>⚔️ 스킬 강화 정보 — 2번 스킬셋</t>
        </is>
      </c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5" t="n"/>
    </row>
    <row r="44" ht="30" customHeight="1" s="133">
      <c r="B44" s="130" t="inlineStr">
        <is>
          <t>커맨드</t>
        </is>
      </c>
      <c r="C44" s="130" t="inlineStr">
        <is>
          <t>레벨</t>
        </is>
      </c>
      <c r="D44" s="130" t="inlineStr">
        <is>
          <t>쿨타임(s)</t>
        </is>
      </c>
      <c r="E44" s="130" t="inlineStr">
        <is>
          <t>마나소모</t>
        </is>
      </c>
      <c r="F44" s="130" t="inlineStr">
        <is>
          <t>공격유형</t>
        </is>
      </c>
      <c r="G44" s="130" t="inlineStr">
        <is>
          <t>피해량(배율)</t>
        </is>
      </c>
      <c r="H44" s="130" t="inlineStr">
        <is>
          <t>버프/디버프</t>
        </is>
      </c>
      <c r="I44" s="130" t="inlineStr">
        <is>
          <t>DPS</t>
        </is>
      </c>
      <c r="J44" s="130" t="inlineStr">
        <is>
          <t>분당횟수</t>
        </is>
      </c>
      <c r="K44" s="130" t="inlineStr">
        <is>
          <t>1분누적피해</t>
        </is>
      </c>
      <c r="L44" s="130" t="inlineStr">
        <is>
          <t>1분마나소모</t>
        </is>
      </c>
    </row>
    <row r="45">
      <c r="B45" s="22" t="inlineStr">
        <is>
          <t>Q</t>
        </is>
      </c>
      <c r="C45" s="21" t="n">
        <v>1</v>
      </c>
      <c r="D45" s="21" t="n">
        <v>6</v>
      </c>
      <c r="E45" s="21" t="n">
        <v>10</v>
      </c>
      <c r="F45" s="21" t="inlineStr">
        <is>
          <t>단일 대상</t>
        </is>
      </c>
      <c r="G45" s="21" t="n">
        <v>1.8</v>
      </c>
      <c r="H45" s="21" t="n"/>
      <c r="I45" s="30">
        <f>G45/(D45+1)</f>
        <v/>
      </c>
      <c r="J45" s="153">
        <f>60/(D45+1)</f>
        <v/>
      </c>
      <c r="K45" s="30">
        <f>J45*G45</f>
        <v/>
      </c>
      <c r="L45" s="21" t="inlineStr">
        <is>
          <t>0</t>
        </is>
      </c>
    </row>
    <row r="46">
      <c r="B46" s="33" t="n"/>
      <c r="C46" s="34" t="n">
        <v>2</v>
      </c>
      <c r="D46" s="34" t="n">
        <v>5.5</v>
      </c>
      <c r="E46" s="34" t="n">
        <v>10</v>
      </c>
      <c r="F46" s="34" t="inlineStr">
        <is>
          <t>단일 대상</t>
        </is>
      </c>
      <c r="G46" s="34" t="n">
        <v>2</v>
      </c>
      <c r="H46" s="34" t="n"/>
      <c r="I46" s="35">
        <f>G46/(D46+1)</f>
        <v/>
      </c>
      <c r="J46" s="154">
        <f>60/(D46+1)</f>
        <v/>
      </c>
      <c r="K46" s="35">
        <f>J46*G46</f>
        <v/>
      </c>
      <c r="L46" s="57" t="inlineStr">
        <is>
          <t>0</t>
        </is>
      </c>
    </row>
    <row r="47">
      <c r="B47" s="33" t="n"/>
      <c r="C47" s="34" t="n">
        <v>3</v>
      </c>
      <c r="D47" s="34" t="n">
        <v>5</v>
      </c>
      <c r="E47" s="34" t="n">
        <v>11</v>
      </c>
      <c r="F47" s="34" t="inlineStr">
        <is>
          <t>단일 대상</t>
        </is>
      </c>
      <c r="G47" s="34" t="n">
        <v>2.2</v>
      </c>
      <c r="H47" s="34" t="n"/>
      <c r="I47" s="35">
        <f>G47/(D47+1)</f>
        <v/>
      </c>
      <c r="J47" s="154">
        <f>60/(D47+1)</f>
        <v/>
      </c>
      <c r="K47" s="35">
        <f>J47*G47</f>
        <v/>
      </c>
      <c r="L47" s="57" t="inlineStr">
        <is>
          <t>0</t>
        </is>
      </c>
    </row>
    <row r="48">
      <c r="B48" s="33" t="n"/>
      <c r="C48" s="34" t="n">
        <v>4</v>
      </c>
      <c r="D48" s="34" t="n">
        <v>4.5</v>
      </c>
      <c r="E48" s="34" t="n">
        <v>11</v>
      </c>
      <c r="F48" s="34" t="inlineStr">
        <is>
          <t>단일 대상</t>
        </is>
      </c>
      <c r="G48" s="34" t="n">
        <v>2.4</v>
      </c>
      <c r="H48" s="34" t="n"/>
      <c r="I48" s="35">
        <f>G48/(D48+1)</f>
        <v/>
      </c>
      <c r="J48" s="154">
        <f>60/(D48+1)</f>
        <v/>
      </c>
      <c r="K48" s="35">
        <f>J48*G48</f>
        <v/>
      </c>
      <c r="L48" s="57" t="inlineStr">
        <is>
          <t>0</t>
        </is>
      </c>
    </row>
    <row r="49">
      <c r="B49" s="33" t="n"/>
      <c r="C49" s="34" t="n">
        <v>5</v>
      </c>
      <c r="D49" s="34" t="n">
        <v>4</v>
      </c>
      <c r="E49" s="34" t="n">
        <v>12</v>
      </c>
      <c r="F49" s="34" t="inlineStr">
        <is>
          <t>단일 대상</t>
        </is>
      </c>
      <c r="G49" s="34" t="n">
        <v>2.6</v>
      </c>
      <c r="H49" s="34" t="n"/>
      <c r="I49" s="35">
        <f>G49/(D49+1)</f>
        <v/>
      </c>
      <c r="J49" s="154">
        <f>60/(D49+1)</f>
        <v/>
      </c>
      <c r="K49" s="35">
        <f>J49*G49</f>
        <v/>
      </c>
      <c r="L49" s="57" t="inlineStr">
        <is>
          <t>0</t>
        </is>
      </c>
    </row>
    <row r="50">
      <c r="B50" s="24" t="inlineStr">
        <is>
          <t>W</t>
        </is>
      </c>
      <c r="C50" s="23" t="n">
        <v>1</v>
      </c>
      <c r="D50" s="23" t="n">
        <v>15</v>
      </c>
      <c r="E50" s="23" t="n">
        <v>25</v>
      </c>
      <c r="F50" s="23" t="inlineStr">
        <is>
          <t>버프</t>
        </is>
      </c>
      <c r="G50" s="23" t="n">
        <v>0</v>
      </c>
      <c r="H50" s="23" t="inlineStr">
        <is>
          <t>방어력↑</t>
        </is>
      </c>
      <c r="I50" s="23" t="inlineStr">
        <is>
          <t>-</t>
        </is>
      </c>
      <c r="J50" s="159">
        <f>60/(D50+1)</f>
        <v/>
      </c>
      <c r="K50" s="23" t="inlineStr">
        <is>
          <t>0</t>
        </is>
      </c>
      <c r="L50" s="23" t="inlineStr">
        <is>
          <t>0</t>
        </is>
      </c>
    </row>
    <row r="51">
      <c r="B51" s="38" t="n"/>
      <c r="C51" s="39" t="n">
        <v>2</v>
      </c>
      <c r="D51" s="39" t="n">
        <v>14</v>
      </c>
      <c r="E51" s="39" t="n">
        <v>26</v>
      </c>
      <c r="F51" s="39" t="inlineStr">
        <is>
          <t>버프</t>
        </is>
      </c>
      <c r="G51" s="39" t="n">
        <v>0</v>
      </c>
      <c r="H51" s="39" t="inlineStr">
        <is>
          <t>방어력↑</t>
        </is>
      </c>
      <c r="I51" s="40" t="inlineStr">
        <is>
          <t>-</t>
        </is>
      </c>
      <c r="J51" s="160">
        <f>60/(D51+1)</f>
        <v/>
      </c>
      <c r="K51" s="40" t="inlineStr">
        <is>
          <t>0</t>
        </is>
      </c>
      <c r="L51" s="40" t="inlineStr">
        <is>
          <t>0</t>
        </is>
      </c>
    </row>
    <row r="52">
      <c r="B52" s="38" t="n"/>
      <c r="C52" s="39" t="n">
        <v>3</v>
      </c>
      <c r="D52" s="39" t="n">
        <v>13</v>
      </c>
      <c r="E52" s="39" t="n">
        <v>27</v>
      </c>
      <c r="F52" s="39" t="inlineStr">
        <is>
          <t>버프</t>
        </is>
      </c>
      <c r="G52" s="39" t="n">
        <v>0</v>
      </c>
      <c r="H52" s="39" t="inlineStr">
        <is>
          <t>방어력↑</t>
        </is>
      </c>
      <c r="I52" s="40" t="inlineStr">
        <is>
          <t>-</t>
        </is>
      </c>
      <c r="J52" s="160">
        <f>60/(D52+1)</f>
        <v/>
      </c>
      <c r="K52" s="40" t="inlineStr">
        <is>
          <t>0</t>
        </is>
      </c>
      <c r="L52" s="40" t="inlineStr">
        <is>
          <t>0</t>
        </is>
      </c>
    </row>
    <row r="53">
      <c r="B53" s="38" t="n"/>
      <c r="C53" s="39" t="n">
        <v>4</v>
      </c>
      <c r="D53" s="39" t="n">
        <v>12</v>
      </c>
      <c r="E53" s="39" t="n">
        <v>28</v>
      </c>
      <c r="F53" s="39" t="inlineStr">
        <is>
          <t>버프</t>
        </is>
      </c>
      <c r="G53" s="39" t="n">
        <v>0</v>
      </c>
      <c r="H53" s="39" t="inlineStr">
        <is>
          <t>방어력↑</t>
        </is>
      </c>
      <c r="I53" s="40" t="inlineStr">
        <is>
          <t>-</t>
        </is>
      </c>
      <c r="J53" s="160">
        <f>60/(D53+1)</f>
        <v/>
      </c>
      <c r="K53" s="40" t="inlineStr">
        <is>
          <t>0</t>
        </is>
      </c>
      <c r="L53" s="40" t="inlineStr">
        <is>
          <t>0</t>
        </is>
      </c>
    </row>
    <row r="54">
      <c r="B54" s="38" t="n"/>
      <c r="C54" s="39" t="n">
        <v>5</v>
      </c>
      <c r="D54" s="39" t="n">
        <v>11</v>
      </c>
      <c r="E54" s="39" t="n">
        <v>30</v>
      </c>
      <c r="F54" s="39" t="inlineStr">
        <is>
          <t>버프</t>
        </is>
      </c>
      <c r="G54" s="39" t="n">
        <v>0</v>
      </c>
      <c r="H54" s="39" t="inlineStr">
        <is>
          <t>방어력↑</t>
        </is>
      </c>
      <c r="I54" s="40" t="inlineStr">
        <is>
          <t>-</t>
        </is>
      </c>
      <c r="J54" s="160">
        <f>60/(D54+1)</f>
        <v/>
      </c>
      <c r="K54" s="40" t="inlineStr">
        <is>
          <t>0</t>
        </is>
      </c>
      <c r="L54" s="40" t="inlineStr">
        <is>
          <t>0</t>
        </is>
      </c>
    </row>
    <row r="55">
      <c r="B55" s="26" t="inlineStr">
        <is>
          <t>E</t>
        </is>
      </c>
      <c r="C55" s="25" t="n">
        <v>1</v>
      </c>
      <c r="D55" s="25" t="n">
        <v>25</v>
      </c>
      <c r="E55" s="25" t="n">
        <v>45</v>
      </c>
      <c r="F55" s="25" t="inlineStr">
        <is>
          <t>자기중심 광역 (CC)</t>
        </is>
      </c>
      <c r="G55" s="25" t="n">
        <v>0</v>
      </c>
      <c r="H55" s="25" t="inlineStr">
        <is>
          <t>침묵</t>
        </is>
      </c>
      <c r="I55" s="25" t="inlineStr">
        <is>
          <t>-</t>
        </is>
      </c>
      <c r="J55" s="155">
        <f>60/(D55+1)</f>
        <v/>
      </c>
      <c r="K55" s="25" t="inlineStr">
        <is>
          <t>0</t>
        </is>
      </c>
      <c r="L55" s="43">
        <f>J55*E55</f>
        <v/>
      </c>
    </row>
    <row r="56">
      <c r="B56" s="44" t="n"/>
      <c r="C56" s="45" t="n">
        <v>2</v>
      </c>
      <c r="D56" s="45" t="n">
        <v>23</v>
      </c>
      <c r="E56" s="45" t="n">
        <v>47</v>
      </c>
      <c r="F56" s="45" t="inlineStr">
        <is>
          <t>자기중심 광역 (CC)</t>
        </is>
      </c>
      <c r="G56" s="45" t="n">
        <v>0</v>
      </c>
      <c r="H56" s="45" t="inlineStr">
        <is>
          <t>침묵</t>
        </is>
      </c>
      <c r="I56" s="60" t="inlineStr">
        <is>
          <t>-</t>
        </is>
      </c>
      <c r="J56" s="156">
        <f>60/(D56+1)</f>
        <v/>
      </c>
      <c r="K56" s="60" t="inlineStr">
        <is>
          <t>0</t>
        </is>
      </c>
      <c r="L56" s="48">
        <f>J56*E56</f>
        <v/>
      </c>
    </row>
    <row r="57">
      <c r="B57" s="44" t="n"/>
      <c r="C57" s="45" t="n">
        <v>3</v>
      </c>
      <c r="D57" s="45" t="n">
        <v>21</v>
      </c>
      <c r="E57" s="45" t="n">
        <v>49</v>
      </c>
      <c r="F57" s="45" t="inlineStr">
        <is>
          <t>자기중심 광역 (CC)</t>
        </is>
      </c>
      <c r="G57" s="45" t="n">
        <v>0</v>
      </c>
      <c r="H57" s="45" t="inlineStr">
        <is>
          <t>침묵</t>
        </is>
      </c>
      <c r="I57" s="60" t="inlineStr">
        <is>
          <t>-</t>
        </is>
      </c>
      <c r="J57" s="156">
        <f>60/(D57+1)</f>
        <v/>
      </c>
      <c r="K57" s="60" t="inlineStr">
        <is>
          <t>0</t>
        </is>
      </c>
      <c r="L57" s="48">
        <f>J57*E57</f>
        <v/>
      </c>
    </row>
    <row r="58">
      <c r="B58" s="44" t="n"/>
      <c r="C58" s="45" t="n">
        <v>4</v>
      </c>
      <c r="D58" s="45" t="n">
        <v>19</v>
      </c>
      <c r="E58" s="45" t="n">
        <v>51</v>
      </c>
      <c r="F58" s="45" t="inlineStr">
        <is>
          <t>자기중심 광역 (CC)</t>
        </is>
      </c>
      <c r="G58" s="45" t="n">
        <v>0</v>
      </c>
      <c r="H58" s="45" t="inlineStr">
        <is>
          <t>침묵</t>
        </is>
      </c>
      <c r="I58" s="60" t="inlineStr">
        <is>
          <t>-</t>
        </is>
      </c>
      <c r="J58" s="156">
        <f>60/(D58+1)</f>
        <v/>
      </c>
      <c r="K58" s="60" t="inlineStr">
        <is>
          <t>0</t>
        </is>
      </c>
      <c r="L58" s="48">
        <f>J58*E58</f>
        <v/>
      </c>
    </row>
    <row r="59">
      <c r="B59" s="44" t="n"/>
      <c r="C59" s="45" t="n">
        <v>5</v>
      </c>
      <c r="D59" s="45" t="n">
        <v>17</v>
      </c>
      <c r="E59" s="45" t="n">
        <v>54</v>
      </c>
      <c r="F59" s="45" t="inlineStr">
        <is>
          <t>자기중심 광역 (CC)</t>
        </is>
      </c>
      <c r="G59" s="45" t="n">
        <v>0</v>
      </c>
      <c r="H59" s="45" t="inlineStr">
        <is>
          <t>침묵</t>
        </is>
      </c>
      <c r="I59" s="60" t="inlineStr">
        <is>
          <t>-</t>
        </is>
      </c>
      <c r="J59" s="156">
        <f>60/(D59+1)</f>
        <v/>
      </c>
      <c r="K59" s="60" t="inlineStr">
        <is>
          <t>0</t>
        </is>
      </c>
      <c r="L59" s="48">
        <f>J59*E59</f>
        <v/>
      </c>
    </row>
    <row r="60">
      <c r="B60" s="28" t="inlineStr">
        <is>
          <t>R</t>
        </is>
      </c>
      <c r="C60" s="27" t="n">
        <v>1</v>
      </c>
      <c r="D60" s="27" t="n">
        <v>40</v>
      </c>
      <c r="E60" s="27" t="n">
        <v>150</v>
      </c>
      <c r="F60" s="27" t="inlineStr">
        <is>
          <t>자기중심 광역</t>
        </is>
      </c>
      <c r="G60" s="27" t="n">
        <v>4</v>
      </c>
      <c r="H60" s="27" t="n"/>
      <c r="I60" s="49">
        <f>G60/(D60+1)</f>
        <v/>
      </c>
      <c r="J60" s="157">
        <f>60/(D60+1)</f>
        <v/>
      </c>
      <c r="K60" s="49">
        <f>J60*G60</f>
        <v/>
      </c>
      <c r="L60" s="27" t="inlineStr">
        <is>
          <t>0</t>
        </is>
      </c>
    </row>
    <row r="61">
      <c r="B61" s="52" t="n"/>
      <c r="C61" s="53" t="n">
        <v>2</v>
      </c>
      <c r="D61" s="53" t="n">
        <v>38</v>
      </c>
      <c r="E61" s="53" t="n">
        <v>150</v>
      </c>
      <c r="F61" s="53" t="inlineStr">
        <is>
          <t>자기중심 광역</t>
        </is>
      </c>
      <c r="G61" s="53" t="n">
        <v>4.5</v>
      </c>
      <c r="H61" s="53" t="n"/>
      <c r="I61" s="54">
        <f>G61/(D61+1)</f>
        <v/>
      </c>
      <c r="J61" s="158">
        <f>60/(D61+1)</f>
        <v/>
      </c>
      <c r="K61" s="54">
        <f>J61*G61</f>
        <v/>
      </c>
      <c r="L61" s="61" t="inlineStr">
        <is>
          <t>0</t>
        </is>
      </c>
    </row>
    <row r="62">
      <c r="B62" s="52" t="n"/>
      <c r="C62" s="53" t="n">
        <v>3</v>
      </c>
      <c r="D62" s="53" t="n">
        <v>36</v>
      </c>
      <c r="E62" s="53" t="n">
        <v>150</v>
      </c>
      <c r="F62" s="53" t="inlineStr">
        <is>
          <t>자기중심 광역</t>
        </is>
      </c>
      <c r="G62" s="53" t="n">
        <v>5</v>
      </c>
      <c r="H62" s="53" t="n"/>
      <c r="I62" s="54">
        <f>G62/(D62+1)</f>
        <v/>
      </c>
      <c r="J62" s="158">
        <f>60/(D62+1)</f>
        <v/>
      </c>
      <c r="K62" s="54">
        <f>J62*G62</f>
        <v/>
      </c>
      <c r="L62" s="61" t="inlineStr">
        <is>
          <t>0</t>
        </is>
      </c>
    </row>
    <row r="63">
      <c r="B63" s="52" t="n"/>
      <c r="C63" s="53" t="n">
        <v>4</v>
      </c>
      <c r="D63" s="53" t="n">
        <v>34</v>
      </c>
      <c r="E63" s="53" t="n">
        <v>150</v>
      </c>
      <c r="F63" s="53" t="inlineStr">
        <is>
          <t>자기중심 광역</t>
        </is>
      </c>
      <c r="G63" s="53" t="n">
        <v>5.5</v>
      </c>
      <c r="H63" s="53" t="n"/>
      <c r="I63" s="54">
        <f>G63/(D63+1)</f>
        <v/>
      </c>
      <c r="J63" s="158">
        <f>60/(D63+1)</f>
        <v/>
      </c>
      <c r="K63" s="54">
        <f>J63*G63</f>
        <v/>
      </c>
      <c r="L63" s="61" t="inlineStr">
        <is>
          <t>0</t>
        </is>
      </c>
    </row>
    <row r="64">
      <c r="B64" s="52" t="n"/>
      <c r="C64" s="53" t="n">
        <v>5</v>
      </c>
      <c r="D64" s="53" t="n">
        <v>32</v>
      </c>
      <c r="E64" s="53" t="n">
        <v>150</v>
      </c>
      <c r="F64" s="53" t="inlineStr">
        <is>
          <t>자기중심 광역</t>
        </is>
      </c>
      <c r="G64" s="53" t="n">
        <v>6</v>
      </c>
      <c r="H64" s="53" t="n"/>
      <c r="I64" s="54">
        <f>G64/(D64+1)</f>
        <v/>
      </c>
      <c r="J64" s="158">
        <f>60/(D64+1)</f>
        <v/>
      </c>
      <c r="K64" s="54">
        <f>J64*G64</f>
        <v/>
      </c>
      <c r="L64" s="61" t="inlineStr">
        <is>
          <t>0</t>
        </is>
      </c>
    </row>
    <row r="66">
      <c r="B66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5" t="n"/>
    </row>
    <row r="68" ht="21.95" customHeight="1" s="133">
      <c r="B68" s="125" t="inlineStr">
        <is>
          <t>▶ 3번 스킬셋  |  ✅ 전 레벨 데이터 확보 (시뮬레이터 구현)</t>
        </is>
      </c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5" t="n"/>
    </row>
    <row r="69">
      <c r="B69" s="122" t="inlineStr">
        <is>
          <t>커맨드</t>
        </is>
      </c>
      <c r="C69" s="122" t="inlineStr">
        <is>
          <t>스킬명</t>
        </is>
      </c>
      <c r="D69" s="122" t="inlineStr">
        <is>
          <t>유형</t>
        </is>
      </c>
      <c r="E69" s="122" t="inlineStr">
        <is>
          <t>설명</t>
        </is>
      </c>
      <c r="F69" s="114" t="n"/>
      <c r="G69" s="114" t="n"/>
      <c r="H69" s="114" t="n"/>
      <c r="I69" s="114" t="n"/>
      <c r="J69" s="114" t="n"/>
      <c r="K69" s="114" t="n"/>
      <c r="L69" s="114" t="n"/>
      <c r="M69" s="115" t="n"/>
    </row>
    <row r="70" ht="18" customHeight="1" s="133">
      <c r="B70" s="21" t="inlineStr">
        <is>
          <t>Q</t>
        </is>
      </c>
      <c r="C70" s="22" t="inlineStr">
        <is>
          <t>성스러운 일격</t>
        </is>
      </c>
      <c r="D70" s="22" t="inlineStr">
        <is>
          <t>단일 공격</t>
        </is>
      </c>
      <c r="E70" s="124" t="inlineStr">
        <is>
          <t>성스러운 빛으로 적을 강타합니다.</t>
        </is>
      </c>
      <c r="F70" s="114" t="n"/>
      <c r="G70" s="114" t="n"/>
      <c r="H70" s="114" t="n"/>
      <c r="I70" s="114" t="n"/>
      <c r="J70" s="114" t="n"/>
      <c r="K70" s="114" t="n"/>
      <c r="L70" s="114" t="n"/>
      <c r="M70" s="115" t="n"/>
    </row>
    <row r="71" ht="18" customHeight="1" s="133">
      <c r="B71" s="23" t="inlineStr">
        <is>
          <t>W</t>
        </is>
      </c>
      <c r="C71" s="24" t="inlineStr">
        <is>
          <t>가호의 빛</t>
        </is>
      </c>
      <c r="D71" s="24" t="inlineStr">
        <is>
          <t>공격 + 방어 버프</t>
        </is>
      </c>
      <c r="E71" s="126" t="inlineStr">
        <is>
          <t>빛의 가호로 방어력을 강화합니다.</t>
        </is>
      </c>
      <c r="F71" s="114" t="n"/>
      <c r="G71" s="114" t="n"/>
      <c r="H71" s="114" t="n"/>
      <c r="I71" s="114" t="n"/>
      <c r="J71" s="114" t="n"/>
      <c r="K71" s="114" t="n"/>
      <c r="L71" s="114" t="n"/>
      <c r="M71" s="115" t="n"/>
    </row>
    <row r="72" ht="18" customHeight="1" s="133">
      <c r="B72" s="25" t="inlineStr">
        <is>
          <t>E</t>
        </is>
      </c>
      <c r="C72" s="26" t="inlineStr">
        <is>
          <t>폭주하는 광휘</t>
        </is>
      </c>
      <c r="D72" s="26" t="inlineStr">
        <is>
          <t>범위 공격</t>
        </is>
      </c>
      <c r="E72" s="120" t="inlineStr">
        <is>
          <t>광휘가 폭주하며 주변 적에게 피해를 입힙니다.</t>
        </is>
      </c>
      <c r="F72" s="114" t="n"/>
      <c r="G72" s="114" t="n"/>
      <c r="H72" s="114" t="n"/>
      <c r="I72" s="114" t="n"/>
      <c r="J72" s="114" t="n"/>
      <c r="K72" s="114" t="n"/>
      <c r="L72" s="114" t="n"/>
      <c r="M72" s="115" t="n"/>
    </row>
    <row r="73" ht="18" customHeight="1" s="133">
      <c r="B73" s="27" t="inlineStr">
        <is>
          <t>R</t>
        </is>
      </c>
      <c r="C73" s="28" t="inlineStr">
        <is>
          <t>광휘의 심판</t>
        </is>
      </c>
      <c r="D73" s="28" t="inlineStr">
        <is>
          <t>단일 공격</t>
        </is>
      </c>
      <c r="E73" s="121" t="inlineStr">
        <is>
          <t>강력한 광휘로 심판의 일격을 가합니다.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5" t="n"/>
    </row>
    <row r="75">
      <c r="B75" s="118" t="inlineStr">
        <is>
          <t>⚔️ 스킬 강화 정보 — 3번 스킬셋</t>
        </is>
      </c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5" t="n"/>
    </row>
    <row r="76" ht="30" customHeight="1" s="133">
      <c r="B76" s="130" t="inlineStr">
        <is>
          <t>커맨드</t>
        </is>
      </c>
      <c r="C76" s="130" t="inlineStr">
        <is>
          <t>레벨</t>
        </is>
      </c>
      <c r="D76" s="130" t="inlineStr">
        <is>
          <t>쿨타임(s)</t>
        </is>
      </c>
      <c r="E76" s="130" t="inlineStr">
        <is>
          <t>마나소모</t>
        </is>
      </c>
      <c r="F76" s="130" t="inlineStr">
        <is>
          <t>공격유형</t>
        </is>
      </c>
      <c r="G76" s="130" t="inlineStr">
        <is>
          <t>피해량(배율)</t>
        </is>
      </c>
      <c r="H76" s="130" t="inlineStr">
        <is>
          <t>버프/디버프</t>
        </is>
      </c>
      <c r="I76" s="130" t="inlineStr">
        <is>
          <t>DPS</t>
        </is>
      </c>
      <c r="J76" s="130" t="inlineStr">
        <is>
          <t>분당횟수</t>
        </is>
      </c>
      <c r="K76" s="130" t="inlineStr">
        <is>
          <t>1분누적피해</t>
        </is>
      </c>
      <c r="L76" s="130" t="inlineStr">
        <is>
          <t>1분마나소모</t>
        </is>
      </c>
    </row>
    <row r="77">
      <c r="B77" s="22" t="inlineStr">
        <is>
          <t>Q</t>
        </is>
      </c>
      <c r="C77" s="21" t="n">
        <v>1</v>
      </c>
      <c r="D77" s="21" t="n">
        <v>6</v>
      </c>
      <c r="E77" s="21" t="n">
        <v>15</v>
      </c>
      <c r="F77" s="21" t="inlineStr">
        <is>
          <t>단일 공격</t>
        </is>
      </c>
      <c r="G77" s="21" t="n">
        <v>1.5</v>
      </c>
      <c r="H77" s="21" t="n"/>
      <c r="I77" s="30">
        <f>G77/(D77+1)</f>
        <v/>
      </c>
      <c r="J77" s="153">
        <f>60/(D77+1)</f>
        <v/>
      </c>
      <c r="K77" s="30">
        <f>J77*G77</f>
        <v/>
      </c>
      <c r="L77" s="32">
        <f>J77*E77</f>
        <v/>
      </c>
    </row>
    <row r="78">
      <c r="B78" s="33" t="n"/>
      <c r="C78" s="34" t="n">
        <v>2</v>
      </c>
      <c r="D78" s="34" t="n">
        <v>5.5</v>
      </c>
      <c r="E78" s="34" t="n">
        <v>16</v>
      </c>
      <c r="F78" s="34" t="inlineStr">
        <is>
          <t>단일 공격</t>
        </is>
      </c>
      <c r="G78" s="34" t="n">
        <v>1.65</v>
      </c>
      <c r="H78" s="34" t="n"/>
      <c r="I78" s="35">
        <f>G78/(D78+1)</f>
        <v/>
      </c>
      <c r="J78" s="154">
        <f>60/(D78+1)</f>
        <v/>
      </c>
      <c r="K78" s="35">
        <f>J78*G78</f>
        <v/>
      </c>
      <c r="L78" s="37">
        <f>J78*E78</f>
        <v/>
      </c>
    </row>
    <row r="79">
      <c r="B79" s="33" t="n"/>
      <c r="C79" s="34" t="n">
        <v>3</v>
      </c>
      <c r="D79" s="34" t="n">
        <v>5</v>
      </c>
      <c r="E79" s="34" t="n">
        <v>17</v>
      </c>
      <c r="F79" s="34" t="inlineStr">
        <is>
          <t>단일 공격</t>
        </is>
      </c>
      <c r="G79" s="34" t="n">
        <v>1.8</v>
      </c>
      <c r="H79" s="34" t="n"/>
      <c r="I79" s="35">
        <f>G79/(D79+1)</f>
        <v/>
      </c>
      <c r="J79" s="154">
        <f>60/(D79+1)</f>
        <v/>
      </c>
      <c r="K79" s="35">
        <f>J79*G79</f>
        <v/>
      </c>
      <c r="L79" s="37">
        <f>J79*E79</f>
        <v/>
      </c>
    </row>
    <row r="80">
      <c r="B80" s="33" t="n"/>
      <c r="C80" s="34" t="n">
        <v>4</v>
      </c>
      <c r="D80" s="34" t="n">
        <v>4.5</v>
      </c>
      <c r="E80" s="34" t="n">
        <v>18</v>
      </c>
      <c r="F80" s="34" t="inlineStr">
        <is>
          <t>단일 공격</t>
        </is>
      </c>
      <c r="G80" s="34" t="n">
        <v>1.95</v>
      </c>
      <c r="H80" s="34" t="n"/>
      <c r="I80" s="35">
        <f>G80/(D80+1)</f>
        <v/>
      </c>
      <c r="J80" s="154">
        <f>60/(D80+1)</f>
        <v/>
      </c>
      <c r="K80" s="35">
        <f>J80*G80</f>
        <v/>
      </c>
      <c r="L80" s="37">
        <f>J80*E80</f>
        <v/>
      </c>
    </row>
    <row r="81">
      <c r="B81" s="33" t="n"/>
      <c r="C81" s="34" t="n">
        <v>5</v>
      </c>
      <c r="D81" s="34" t="n">
        <v>4</v>
      </c>
      <c r="E81" s="34" t="n">
        <v>20</v>
      </c>
      <c r="F81" s="34" t="inlineStr">
        <is>
          <t>단일 공격</t>
        </is>
      </c>
      <c r="G81" s="34" t="n">
        <v>2.1</v>
      </c>
      <c r="H81" s="34" t="n"/>
      <c r="I81" s="35">
        <f>G81/(D81+1)</f>
        <v/>
      </c>
      <c r="J81" s="154">
        <f>60/(D81+1)</f>
        <v/>
      </c>
      <c r="K81" s="35">
        <f>J81*G81</f>
        <v/>
      </c>
      <c r="L81" s="37">
        <f>J81*E81</f>
        <v/>
      </c>
    </row>
    <row r="82">
      <c r="B82" s="24" t="inlineStr">
        <is>
          <t>W</t>
        </is>
      </c>
      <c r="C82" s="23" t="n">
        <v>1</v>
      </c>
      <c r="D82" s="23" t="n">
        <v>12</v>
      </c>
      <c r="E82" s="23" t="n">
        <v>35</v>
      </c>
      <c r="F82" s="23" t="inlineStr">
        <is>
          <t>공격 + 방어 버프</t>
        </is>
      </c>
      <c r="G82" s="23" t="n">
        <v>2</v>
      </c>
      <c r="H82" s="23" t="inlineStr">
        <is>
          <t>방어력 +30% / 5.0s</t>
        </is>
      </c>
      <c r="I82" s="23">
        <f>G82/(D82+1)</f>
        <v/>
      </c>
      <c r="J82" s="159">
        <f>60/(D82+1)</f>
        <v/>
      </c>
      <c r="K82" s="23">
        <f>J82*G82</f>
        <v/>
      </c>
      <c r="L82" s="62">
        <f>J82*E82</f>
        <v/>
      </c>
    </row>
    <row r="83">
      <c r="B83" s="38" t="n"/>
      <c r="C83" s="39" t="n">
        <v>2</v>
      </c>
      <c r="D83" s="39" t="n">
        <v>11</v>
      </c>
      <c r="E83" s="39" t="n">
        <v>39</v>
      </c>
      <c r="F83" s="39" t="inlineStr">
        <is>
          <t>공격 + 방어 버프</t>
        </is>
      </c>
      <c r="G83" s="39" t="n">
        <v>2.2</v>
      </c>
      <c r="H83" s="39" t="inlineStr">
        <is>
          <t>방어력 +30% / 5.5s</t>
        </is>
      </c>
      <c r="I83" s="40">
        <f>G83/(D83+1)</f>
        <v/>
      </c>
      <c r="J83" s="160">
        <f>60/(D83+1)</f>
        <v/>
      </c>
      <c r="K83" s="40">
        <f>J83*G83</f>
        <v/>
      </c>
      <c r="L83" s="63">
        <f>J83*E83</f>
        <v/>
      </c>
    </row>
    <row r="84">
      <c r="B84" s="38" t="n"/>
      <c r="C84" s="39" t="n">
        <v>3</v>
      </c>
      <c r="D84" s="39" t="n">
        <v>10</v>
      </c>
      <c r="E84" s="39" t="n">
        <v>43</v>
      </c>
      <c r="F84" s="39" t="inlineStr">
        <is>
          <t>공격 + 방어 버프</t>
        </is>
      </c>
      <c r="G84" s="39" t="n">
        <v>2.4</v>
      </c>
      <c r="H84" s="39" t="inlineStr">
        <is>
          <t>방어력 +30% / 6.0s</t>
        </is>
      </c>
      <c r="I84" s="40">
        <f>G84/(D84+1)</f>
        <v/>
      </c>
      <c r="J84" s="160">
        <f>60/(D84+1)</f>
        <v/>
      </c>
      <c r="K84" s="40">
        <f>J84*G84</f>
        <v/>
      </c>
      <c r="L84" s="63">
        <f>J84*E84</f>
        <v/>
      </c>
    </row>
    <row r="85">
      <c r="B85" s="38" t="n"/>
      <c r="C85" s="39" t="n">
        <v>4</v>
      </c>
      <c r="D85" s="39" t="n">
        <v>9</v>
      </c>
      <c r="E85" s="39" t="n">
        <v>47</v>
      </c>
      <c r="F85" s="39" t="inlineStr">
        <is>
          <t>공격 + 방어 버프</t>
        </is>
      </c>
      <c r="G85" s="39" t="n">
        <v>2.6</v>
      </c>
      <c r="H85" s="39" t="inlineStr">
        <is>
          <t>방어력 +30% / 6.5s</t>
        </is>
      </c>
      <c r="I85" s="40">
        <f>G85/(D85+1)</f>
        <v/>
      </c>
      <c r="J85" s="160">
        <f>60/(D85+1)</f>
        <v/>
      </c>
      <c r="K85" s="40">
        <f>J85*G85</f>
        <v/>
      </c>
      <c r="L85" s="63">
        <f>J85*E85</f>
        <v/>
      </c>
    </row>
    <row r="86">
      <c r="B86" s="38" t="n"/>
      <c r="C86" s="39" t="n">
        <v>5</v>
      </c>
      <c r="D86" s="39" t="n">
        <v>8</v>
      </c>
      <c r="E86" s="39" t="n">
        <v>50</v>
      </c>
      <c r="F86" s="39" t="inlineStr">
        <is>
          <t>공격 + 방어 버프</t>
        </is>
      </c>
      <c r="G86" s="39" t="n">
        <v>2.8</v>
      </c>
      <c r="H86" s="39" t="inlineStr">
        <is>
          <t>방어력 +30% / 7.0s</t>
        </is>
      </c>
      <c r="I86" s="40">
        <f>G86/(D86+1)</f>
        <v/>
      </c>
      <c r="J86" s="160">
        <f>60/(D86+1)</f>
        <v/>
      </c>
      <c r="K86" s="40">
        <f>J86*G86</f>
        <v/>
      </c>
      <c r="L86" s="63">
        <f>J86*E86</f>
        <v/>
      </c>
    </row>
    <row r="87">
      <c r="B87" s="26" t="inlineStr">
        <is>
          <t>E</t>
        </is>
      </c>
      <c r="C87" s="25" t="n">
        <v>1</v>
      </c>
      <c r="D87" s="25" t="n">
        <v>20</v>
      </c>
      <c r="E87" s="25" t="n">
        <v>55</v>
      </c>
      <c r="F87" s="25" t="inlineStr">
        <is>
          <t>범위 공격</t>
        </is>
      </c>
      <c r="G87" s="25" t="n">
        <v>2.5</v>
      </c>
      <c r="H87" s="25" t="n"/>
      <c r="I87" s="41">
        <f>G87/(D87+1)</f>
        <v/>
      </c>
      <c r="J87" s="155">
        <f>60/(D87+1)</f>
        <v/>
      </c>
      <c r="K87" s="41">
        <f>J87*G87</f>
        <v/>
      </c>
      <c r="L87" s="43">
        <f>J87*E87</f>
        <v/>
      </c>
    </row>
    <row r="88">
      <c r="B88" s="44" t="n"/>
      <c r="C88" s="45" t="n">
        <v>2</v>
      </c>
      <c r="D88" s="45" t="n">
        <v>19</v>
      </c>
      <c r="E88" s="45" t="n">
        <v>60</v>
      </c>
      <c r="F88" s="45" t="inlineStr">
        <is>
          <t>범위 공격</t>
        </is>
      </c>
      <c r="G88" s="45" t="n">
        <v>2.75</v>
      </c>
      <c r="H88" s="45" t="n"/>
      <c r="I88" s="46">
        <f>G88/(D88+1)</f>
        <v/>
      </c>
      <c r="J88" s="156">
        <f>60/(D88+1)</f>
        <v/>
      </c>
      <c r="K88" s="46">
        <f>J88*G88</f>
        <v/>
      </c>
      <c r="L88" s="48">
        <f>J88*E88</f>
        <v/>
      </c>
    </row>
    <row r="89">
      <c r="B89" s="44" t="n"/>
      <c r="C89" s="45" t="n">
        <v>3</v>
      </c>
      <c r="D89" s="45" t="n">
        <v>18</v>
      </c>
      <c r="E89" s="45" t="n">
        <v>65</v>
      </c>
      <c r="F89" s="45" t="inlineStr">
        <is>
          <t>범위 공격</t>
        </is>
      </c>
      <c r="G89" s="45" t="n">
        <v>3</v>
      </c>
      <c r="H89" s="45" t="n"/>
      <c r="I89" s="46">
        <f>G89/(D89+1)</f>
        <v/>
      </c>
      <c r="J89" s="156">
        <f>60/(D89+1)</f>
        <v/>
      </c>
      <c r="K89" s="46">
        <f>J89*G89</f>
        <v/>
      </c>
      <c r="L89" s="48">
        <f>J89*E89</f>
        <v/>
      </c>
    </row>
    <row r="90">
      <c r="B90" s="44" t="n"/>
      <c r="C90" s="45" t="n">
        <v>4</v>
      </c>
      <c r="D90" s="45" t="n">
        <v>17</v>
      </c>
      <c r="E90" s="45" t="n">
        <v>70</v>
      </c>
      <c r="F90" s="45" t="inlineStr">
        <is>
          <t>범위 공격</t>
        </is>
      </c>
      <c r="G90" s="45" t="n">
        <v>3.25</v>
      </c>
      <c r="H90" s="45" t="n"/>
      <c r="I90" s="46">
        <f>G90/(D90+1)</f>
        <v/>
      </c>
      <c r="J90" s="156">
        <f>60/(D90+1)</f>
        <v/>
      </c>
      <c r="K90" s="46">
        <f>J90*G90</f>
        <v/>
      </c>
      <c r="L90" s="48">
        <f>J90*E90</f>
        <v/>
      </c>
    </row>
    <row r="91">
      <c r="B91" s="44" t="n"/>
      <c r="C91" s="45" t="n">
        <v>5</v>
      </c>
      <c r="D91" s="45" t="n">
        <v>16</v>
      </c>
      <c r="E91" s="45" t="n">
        <v>75</v>
      </c>
      <c r="F91" s="45" t="inlineStr">
        <is>
          <t>범위 공격</t>
        </is>
      </c>
      <c r="G91" s="45" t="n">
        <v>3.5</v>
      </c>
      <c r="H91" s="45" t="n"/>
      <c r="I91" s="46">
        <f>G91/(D91+1)</f>
        <v/>
      </c>
      <c r="J91" s="156">
        <f>60/(D91+1)</f>
        <v/>
      </c>
      <c r="K91" s="46">
        <f>J91*G91</f>
        <v/>
      </c>
      <c r="L91" s="48">
        <f>J91*E91</f>
        <v/>
      </c>
    </row>
    <row r="92">
      <c r="B92" s="28" t="inlineStr">
        <is>
          <t>R</t>
        </is>
      </c>
      <c r="C92" s="27" t="n">
        <v>1</v>
      </c>
      <c r="D92" s="27" t="n">
        <v>45</v>
      </c>
      <c r="E92" s="27" t="n">
        <v>100</v>
      </c>
      <c r="F92" s="27" t="inlineStr">
        <is>
          <t>단일 공격</t>
        </is>
      </c>
      <c r="G92" s="27" t="n">
        <v>5</v>
      </c>
      <c r="H92" s="27" t="n"/>
      <c r="I92" s="49">
        <f>G92/(D92+1)</f>
        <v/>
      </c>
      <c r="J92" s="157">
        <f>60/(D92+1)</f>
        <v/>
      </c>
      <c r="K92" s="49">
        <f>J92*G92</f>
        <v/>
      </c>
      <c r="L92" s="51">
        <f>J92*E92</f>
        <v/>
      </c>
    </row>
    <row r="93">
      <c r="B93" s="52" t="n"/>
      <c r="C93" s="53" t="n">
        <v>2</v>
      </c>
      <c r="D93" s="53" t="n">
        <v>43</v>
      </c>
      <c r="E93" s="53" t="n">
        <v>110</v>
      </c>
      <c r="F93" s="53" t="inlineStr">
        <is>
          <t>단일 공격</t>
        </is>
      </c>
      <c r="G93" s="53" t="n">
        <v>5.5</v>
      </c>
      <c r="H93" s="53" t="n"/>
      <c r="I93" s="54">
        <f>G93/(D93+1)</f>
        <v/>
      </c>
      <c r="J93" s="158">
        <f>60/(D93+1)</f>
        <v/>
      </c>
      <c r="K93" s="54">
        <f>J93*G93</f>
        <v/>
      </c>
      <c r="L93" s="56">
        <f>J93*E93</f>
        <v/>
      </c>
    </row>
    <row r="94">
      <c r="B94" s="52" t="n"/>
      <c r="C94" s="53" t="n">
        <v>3</v>
      </c>
      <c r="D94" s="53" t="n">
        <v>41</v>
      </c>
      <c r="E94" s="53" t="n">
        <v>120</v>
      </c>
      <c r="F94" s="53" t="inlineStr">
        <is>
          <t>단일 공격</t>
        </is>
      </c>
      <c r="G94" s="53" t="n">
        <v>6</v>
      </c>
      <c r="H94" s="53" t="n"/>
      <c r="I94" s="54">
        <f>G94/(D94+1)</f>
        <v/>
      </c>
      <c r="J94" s="158">
        <f>60/(D94+1)</f>
        <v/>
      </c>
      <c r="K94" s="54">
        <f>J94*G94</f>
        <v/>
      </c>
      <c r="L94" s="56">
        <f>J94*E94</f>
        <v/>
      </c>
    </row>
    <row r="95">
      <c r="B95" s="52" t="n"/>
      <c r="C95" s="53" t="n">
        <v>4</v>
      </c>
      <c r="D95" s="53" t="n">
        <v>39</v>
      </c>
      <c r="E95" s="53" t="n">
        <v>130</v>
      </c>
      <c r="F95" s="53" t="inlineStr">
        <is>
          <t>단일 공격</t>
        </is>
      </c>
      <c r="G95" s="53" t="n">
        <v>6.5</v>
      </c>
      <c r="H95" s="53" t="n"/>
      <c r="I95" s="54">
        <f>G95/(D95+1)</f>
        <v/>
      </c>
      <c r="J95" s="158">
        <f>60/(D95+1)</f>
        <v/>
      </c>
      <c r="K95" s="54">
        <f>J95*G95</f>
        <v/>
      </c>
      <c r="L95" s="56">
        <f>J95*E95</f>
        <v/>
      </c>
    </row>
    <row r="96">
      <c r="B96" s="52" t="n"/>
      <c r="C96" s="53" t="n">
        <v>5</v>
      </c>
      <c r="D96" s="53" t="n">
        <v>37</v>
      </c>
      <c r="E96" s="53" t="n">
        <v>140</v>
      </c>
      <c r="F96" s="53" t="inlineStr">
        <is>
          <t>단일 공격</t>
        </is>
      </c>
      <c r="G96" s="53" t="n">
        <v>7</v>
      </c>
      <c r="H96" s="53" t="n"/>
      <c r="I96" s="54">
        <f>G96/(D96+1)</f>
        <v/>
      </c>
      <c r="J96" s="158">
        <f>60/(D96+1)</f>
        <v/>
      </c>
      <c r="K96" s="54">
        <f>J96*G96</f>
        <v/>
      </c>
      <c r="L96" s="56">
        <f>J96*E96</f>
        <v/>
      </c>
    </row>
    <row r="98">
      <c r="B98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5" t="n"/>
    </row>
  </sheetData>
  <mergeCells count="26">
    <mergeCell ref="B2:M2"/>
    <mergeCell ref="B11:M11"/>
    <mergeCell ref="B98:M98"/>
    <mergeCell ref="E40:M40"/>
    <mergeCell ref="E9:M9"/>
    <mergeCell ref="E69:M69"/>
    <mergeCell ref="B1:M1"/>
    <mergeCell ref="E6:M6"/>
    <mergeCell ref="B34:M34"/>
    <mergeCell ref="E70:M70"/>
    <mergeCell ref="B68:M68"/>
    <mergeCell ref="E7:M7"/>
    <mergeCell ref="E72:M72"/>
    <mergeCell ref="E41:M41"/>
    <mergeCell ref="E37:M37"/>
    <mergeCell ref="B36:M36"/>
    <mergeCell ref="B4:M4"/>
    <mergeCell ref="B75:M75"/>
    <mergeCell ref="E71:M71"/>
    <mergeCell ref="E5:M5"/>
    <mergeCell ref="B66:M66"/>
    <mergeCell ref="E39:M39"/>
    <mergeCell ref="E8:M8"/>
    <mergeCell ref="E73:M73"/>
    <mergeCell ref="B43:M43"/>
    <mergeCell ref="E38:M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46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6" customWidth="1" style="133" min="2" max="2"/>
    <col width="5" customWidth="1" style="133" min="3" max="3"/>
    <col width="9" customWidth="1" style="133" min="4" max="5"/>
    <col width="13" customWidth="1" style="133" min="5" max="5"/>
    <col width="14" customWidth="1" style="133" min="6" max="6"/>
    <col width="12" customWidth="1" style="133" min="7" max="7"/>
    <col width="36" customWidth="1" style="133" min="8" max="8"/>
    <col width="9" customWidth="1" style="133" min="9" max="10"/>
    <col width="13" customWidth="1" style="133" min="10" max="10"/>
    <col width="12" customWidth="1" style="133" min="11" max="12"/>
    <col width="13" customWidth="1" style="133" min="12" max="12"/>
  </cols>
  <sheetData>
    <row r="1" ht="30" customHeight="1" s="133">
      <c r="B1" s="123" t="inlineStr">
        <is>
          <t>X7  양손검  스킬 밸런스</t>
        </is>
      </c>
      <c r="C1" s="114" t="n"/>
      <c r="D1" s="114" t="n"/>
      <c r="E1" s="114" t="n"/>
      <c r="F1" s="114" t="n"/>
      <c r="G1" s="114" t="n"/>
      <c r="H1" s="114" t="n"/>
      <c r="I1" s="114" t="n"/>
      <c r="J1" s="114" t="n"/>
      <c r="K1" s="114" t="n"/>
      <c r="L1" s="114" t="n"/>
      <c r="M1" s="115" t="n"/>
    </row>
    <row r="2">
      <c r="B2" s="117" t="inlineStr">
        <is>
          <t>강력한 범위 공격과 버스트를 가진 근접 딜러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5" t="n"/>
    </row>
    <row r="4" ht="21.95" customHeight="1" s="133">
      <c r="B4" s="125" t="inlineStr">
        <is>
          <t>▶ 1번 스킬셋  |  Lv.1 데이터만 확보 (Lv.2~5 편집 필요)</t>
        </is>
      </c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5" t="n"/>
    </row>
    <row r="5">
      <c r="B5" s="122" t="inlineStr">
        <is>
          <t>커맨드</t>
        </is>
      </c>
      <c r="C5" s="122" t="inlineStr">
        <is>
          <t>스킬명</t>
        </is>
      </c>
      <c r="D5" s="122" t="inlineStr">
        <is>
          <t>유형</t>
        </is>
      </c>
      <c r="E5" s="122" t="inlineStr">
        <is>
          <t>설명</t>
        </is>
      </c>
      <c r="F5" s="114" t="n"/>
      <c r="G5" s="114" t="n"/>
      <c r="H5" s="114" t="n"/>
      <c r="I5" s="114" t="n"/>
      <c r="J5" s="114" t="n"/>
      <c r="K5" s="114" t="n"/>
      <c r="L5" s="114" t="n"/>
      <c r="M5" s="115" t="n"/>
    </row>
    <row r="6" ht="18" customHeight="1" s="133">
      <c r="B6" s="21" t="inlineStr">
        <is>
          <t>Q</t>
        </is>
      </c>
      <c r="C6" s="22" t="inlineStr">
        <is>
          <t>폭주</t>
        </is>
      </c>
      <c r="D6" s="22" t="inlineStr">
        <is>
          <t>공격 / 버프</t>
        </is>
      </c>
      <c r="E6" s="124" t="inlineStr">
        <is>
          <t>폭주 상태로 강력한 공격을 가합니다.</t>
        </is>
      </c>
      <c r="F6" s="114" t="n"/>
      <c r="G6" s="114" t="n"/>
      <c r="H6" s="114" t="n"/>
      <c r="I6" s="114" t="n"/>
      <c r="J6" s="114" t="n"/>
      <c r="K6" s="114" t="n"/>
      <c r="L6" s="114" t="n"/>
      <c r="M6" s="115" t="n"/>
    </row>
    <row r="7" ht="18" customHeight="1" s="133">
      <c r="B7" s="23" t="inlineStr">
        <is>
          <t>W</t>
        </is>
      </c>
      <c r="C7" s="24" t="inlineStr">
        <is>
          <t>분노의 일격</t>
        </is>
      </c>
      <c r="D7" s="24" t="inlineStr">
        <is>
          <t>버프</t>
        </is>
      </c>
      <c r="E7" s="126" t="inlineStr">
        <is>
          <t>분노를 담아 공격력을 강화합니다.</t>
        </is>
      </c>
      <c r="F7" s="114" t="n"/>
      <c r="G7" s="114" t="n"/>
      <c r="H7" s="114" t="n"/>
      <c r="I7" s="114" t="n"/>
      <c r="J7" s="114" t="n"/>
      <c r="K7" s="114" t="n"/>
      <c r="L7" s="114" t="n"/>
      <c r="M7" s="115" t="n"/>
    </row>
    <row r="8" ht="18" customHeight="1" s="133">
      <c r="B8" s="25" t="inlineStr">
        <is>
          <t>E</t>
        </is>
      </c>
      <c r="C8" s="26" t="inlineStr">
        <is>
          <t>대지 분쇄</t>
        </is>
      </c>
      <c r="D8" s="26" t="inlineStr">
        <is>
          <t>범위 공격</t>
        </is>
      </c>
      <c r="E8" s="120" t="inlineStr">
        <is>
          <t>대지를 분쇄하여 주변 적에게 피해를 입힙니다.</t>
        </is>
      </c>
      <c r="F8" s="114" t="n"/>
      <c r="G8" s="114" t="n"/>
      <c r="H8" s="114" t="n"/>
      <c r="I8" s="114" t="n"/>
      <c r="J8" s="114" t="n"/>
      <c r="K8" s="114" t="n"/>
      <c r="L8" s="114" t="n"/>
      <c r="M8" s="115" t="n"/>
    </row>
    <row r="9" ht="18" customHeight="1" s="133">
      <c r="B9" s="27" t="inlineStr">
        <is>
          <t>R</t>
        </is>
      </c>
      <c r="C9" s="28" t="inlineStr">
        <is>
          <t>공간 가르기</t>
        </is>
      </c>
      <c r="D9" s="28" t="inlineStr">
        <is>
          <t>단일 공격</t>
        </is>
      </c>
      <c r="E9" s="121" t="inlineStr">
        <is>
          <t>공간을 가르는 강력한 일격을 가합니다.</t>
        </is>
      </c>
      <c r="F9" s="114" t="n"/>
      <c r="G9" s="114" t="n"/>
      <c r="H9" s="114" t="n"/>
      <c r="I9" s="114" t="n"/>
      <c r="J9" s="114" t="n"/>
      <c r="K9" s="114" t="n"/>
      <c r="L9" s="114" t="n"/>
      <c r="M9" s="115" t="n"/>
    </row>
    <row r="11">
      <c r="B11" s="118" t="inlineStr">
        <is>
          <t>⚔️ 스킬 강화 정보 — 1번 스킬셋</t>
        </is>
      </c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5" t="n"/>
    </row>
    <row r="12" ht="30" customHeight="1" s="133">
      <c r="B12" s="130" t="inlineStr">
        <is>
          <t>커맨드</t>
        </is>
      </c>
      <c r="C12" s="130" t="inlineStr">
        <is>
          <t>레벨</t>
        </is>
      </c>
      <c r="D12" s="130" t="inlineStr">
        <is>
          <t>쿨타임(s)</t>
        </is>
      </c>
      <c r="E12" s="130" t="inlineStr">
        <is>
          <t>마나소모</t>
        </is>
      </c>
      <c r="F12" s="130" t="inlineStr">
        <is>
          <t>공격유형</t>
        </is>
      </c>
      <c r="G12" s="130" t="inlineStr">
        <is>
          <t>피해량(배율)</t>
        </is>
      </c>
      <c r="H12" s="130" t="inlineStr">
        <is>
          <t>버프/디버프</t>
        </is>
      </c>
      <c r="I12" s="130" t="inlineStr">
        <is>
          <t>DPS</t>
        </is>
      </c>
      <c r="J12" s="130" t="inlineStr">
        <is>
          <t>분당횟수</t>
        </is>
      </c>
      <c r="K12" s="130" t="inlineStr">
        <is>
          <t>1분누적피해</t>
        </is>
      </c>
      <c r="L12" s="130" t="inlineStr">
        <is>
          <t>1분마나소모</t>
        </is>
      </c>
    </row>
    <row r="13">
      <c r="B13" s="22" t="inlineStr">
        <is>
          <t>Q</t>
        </is>
      </c>
      <c r="C13" s="21" t="n">
        <v>1</v>
      </c>
      <c r="D13" s="21" t="n">
        <v>8</v>
      </c>
      <c r="E13" s="21" t="n">
        <v>15</v>
      </c>
      <c r="F13" s="21" t="inlineStr">
        <is>
          <t>단일 공격</t>
        </is>
      </c>
      <c r="G13" s="21" t="n">
        <v>1.5</v>
      </c>
      <c r="H13" s="21" t="inlineStr">
        <is>
          <t>-</t>
        </is>
      </c>
      <c r="I13" s="21">
        <f>G13/(D13+1)</f>
        <v/>
      </c>
      <c r="J13" s="21">
        <f>60/(D13+1)</f>
        <v/>
      </c>
      <c r="K13" s="21">
        <f>J13*G13</f>
        <v/>
      </c>
      <c r="L13" s="21">
        <f>J13*E13</f>
        <v/>
      </c>
    </row>
    <row r="14">
      <c r="B14" s="33" t="n"/>
      <c r="C14" s="34" t="n">
        <v>2</v>
      </c>
      <c r="D14" s="34" t="n">
        <v>7.5</v>
      </c>
      <c r="E14" s="34" t="n">
        <v>15</v>
      </c>
      <c r="F14" s="34" t="inlineStr">
        <is>
          <t>단일 공격</t>
        </is>
      </c>
      <c r="G14" s="34" t="n">
        <v>1.6</v>
      </c>
      <c r="H14" s="34" t="inlineStr">
        <is>
          <t>-</t>
        </is>
      </c>
      <c r="I14" s="57">
        <f>G14/(D14+1)</f>
        <v/>
      </c>
      <c r="J14" s="57">
        <f>60/(D14+1)</f>
        <v/>
      </c>
      <c r="K14" s="57">
        <f>J14*G14</f>
        <v/>
      </c>
      <c r="L14" s="57">
        <f>J14*E14</f>
        <v/>
      </c>
    </row>
    <row r="15">
      <c r="B15" s="33" t="n"/>
      <c r="C15" s="34" t="n">
        <v>3</v>
      </c>
      <c r="D15" s="34" t="n">
        <v>7</v>
      </c>
      <c r="E15" s="34" t="n">
        <v>16</v>
      </c>
      <c r="F15" s="34" t="inlineStr">
        <is>
          <t>단일 공격</t>
        </is>
      </c>
      <c r="G15" s="34" t="n">
        <v>1.7</v>
      </c>
      <c r="H15" s="34" t="inlineStr">
        <is>
          <t>-</t>
        </is>
      </c>
      <c r="I15" s="57">
        <f>G15/(D15+1)</f>
        <v/>
      </c>
      <c r="J15" s="57">
        <f>60/(D15+1)</f>
        <v/>
      </c>
      <c r="K15" s="57">
        <f>J15*G15</f>
        <v/>
      </c>
      <c r="L15" s="57">
        <f>J15*E15</f>
        <v/>
      </c>
    </row>
    <row r="16">
      <c r="B16" s="33" t="n"/>
      <c r="C16" s="34" t="n">
        <v>4</v>
      </c>
      <c r="D16" s="34" t="n">
        <v>6.5</v>
      </c>
      <c r="E16" s="34" t="n">
        <v>16</v>
      </c>
      <c r="F16" s="34" t="inlineStr">
        <is>
          <t>단일 공격</t>
        </is>
      </c>
      <c r="G16" s="34" t="n">
        <v>1.8</v>
      </c>
      <c r="H16" s="34" t="inlineStr">
        <is>
          <t>-</t>
        </is>
      </c>
      <c r="I16" s="57">
        <f>G16/(D16+1)</f>
        <v/>
      </c>
      <c r="J16" s="57">
        <f>60/(D16+1)</f>
        <v/>
      </c>
      <c r="K16" s="57">
        <f>J16*G16</f>
        <v/>
      </c>
      <c r="L16" s="57">
        <f>J16*E16</f>
        <v/>
      </c>
    </row>
    <row r="17">
      <c r="B17" s="33" t="n"/>
      <c r="C17" s="34" t="n">
        <v>5</v>
      </c>
      <c r="D17" s="34" t="n">
        <v>6</v>
      </c>
      <c r="E17" s="34" t="n">
        <v>17</v>
      </c>
      <c r="F17" s="34" t="inlineStr">
        <is>
          <t>단일 공격</t>
        </is>
      </c>
      <c r="G17" s="34" t="n">
        <v>1.9</v>
      </c>
      <c r="H17" s="34" t="inlineStr">
        <is>
          <t>-</t>
        </is>
      </c>
      <c r="I17" s="57">
        <f>G17/(D17+1)</f>
        <v/>
      </c>
      <c r="J17" s="57">
        <f>60/(D17+1)</f>
        <v/>
      </c>
      <c r="K17" s="57">
        <f>J17*G17</f>
        <v/>
      </c>
      <c r="L17" s="57">
        <f>J17*E17</f>
        <v/>
      </c>
    </row>
    <row r="18">
      <c r="B18" s="24" t="inlineStr">
        <is>
          <t>W</t>
        </is>
      </c>
      <c r="C18" s="23" t="n">
        <v>1</v>
      </c>
      <c r="D18" s="23" t="n">
        <v>12</v>
      </c>
      <c r="E18" s="23" t="n">
        <v>30</v>
      </c>
      <c r="F18" s="23" t="inlineStr">
        <is>
          <t>단일 공격</t>
        </is>
      </c>
      <c r="G18" s="23" t="n">
        <v>2.5</v>
      </c>
      <c r="H18" s="23" t="inlineStr">
        <is>
          <t>-</t>
        </is>
      </c>
      <c r="I18" s="23">
        <f>G18/(D18+1)</f>
        <v/>
      </c>
      <c r="J18" s="159">
        <f>60/(D18+1)</f>
        <v/>
      </c>
      <c r="K18" s="23">
        <f>J18*G18</f>
        <v/>
      </c>
      <c r="L18" s="62">
        <f>J18*E18</f>
        <v/>
      </c>
    </row>
    <row r="19">
      <c r="B19" s="38" t="n"/>
      <c r="C19" s="39" t="n">
        <v>2</v>
      </c>
      <c r="D19" s="39" t="n">
        <v>11</v>
      </c>
      <c r="E19" s="39" t="n">
        <v>32</v>
      </c>
      <c r="F19" s="39" t="inlineStr">
        <is>
          <t>단일 공격</t>
        </is>
      </c>
      <c r="G19" s="39" t="n">
        <v>2.7</v>
      </c>
      <c r="H19" s="39" t="inlineStr">
        <is>
          <t>-</t>
        </is>
      </c>
      <c r="I19" s="40">
        <f>G19/(D19+1)</f>
        <v/>
      </c>
      <c r="J19" s="160">
        <f>60/(D19+1)</f>
        <v/>
      </c>
      <c r="K19" s="40">
        <f>J19*G19</f>
        <v/>
      </c>
      <c r="L19" s="63">
        <f>J19*E19</f>
        <v/>
      </c>
    </row>
    <row r="20">
      <c r="B20" s="38" t="n"/>
      <c r="C20" s="39" t="n">
        <v>3</v>
      </c>
      <c r="D20" s="39" t="n">
        <v>10</v>
      </c>
      <c r="E20" s="39" t="n">
        <v>34</v>
      </c>
      <c r="F20" s="39" t="inlineStr">
        <is>
          <t>단일 공격</t>
        </is>
      </c>
      <c r="G20" s="39" t="n">
        <v>2.9</v>
      </c>
      <c r="H20" s="39" t="inlineStr">
        <is>
          <t>-</t>
        </is>
      </c>
      <c r="I20" s="40">
        <f>G20/(D20+1)</f>
        <v/>
      </c>
      <c r="J20" s="160">
        <f>60/(D20+1)</f>
        <v/>
      </c>
      <c r="K20" s="40">
        <f>J20*G20</f>
        <v/>
      </c>
      <c r="L20" s="63">
        <f>J20*E20</f>
        <v/>
      </c>
    </row>
    <row r="21">
      <c r="B21" s="38" t="n"/>
      <c r="C21" s="39" t="n">
        <v>4</v>
      </c>
      <c r="D21" s="39" t="n">
        <v>9</v>
      </c>
      <c r="E21" s="39" t="n">
        <v>36</v>
      </c>
      <c r="F21" s="39" t="inlineStr">
        <is>
          <t>단일 공격</t>
        </is>
      </c>
      <c r="G21" s="39" t="n">
        <v>3.1</v>
      </c>
      <c r="H21" s="39" t="inlineStr">
        <is>
          <t>-</t>
        </is>
      </c>
      <c r="I21" s="40">
        <f>G21/(D21+1)</f>
        <v/>
      </c>
      <c r="J21" s="160">
        <f>60/(D21+1)</f>
        <v/>
      </c>
      <c r="K21" s="40">
        <f>J21*G21</f>
        <v/>
      </c>
      <c r="L21" s="63">
        <f>J21*E21</f>
        <v/>
      </c>
    </row>
    <row r="22">
      <c r="B22" s="38" t="n"/>
      <c r="C22" s="39" t="n">
        <v>5</v>
      </c>
      <c r="D22" s="39" t="n">
        <v>8</v>
      </c>
      <c r="E22" s="39" t="n">
        <v>38</v>
      </c>
      <c r="F22" s="39" t="inlineStr">
        <is>
          <t>단일 공격</t>
        </is>
      </c>
      <c r="G22" s="39" t="n">
        <v>3.3</v>
      </c>
      <c r="H22" s="39" t="inlineStr">
        <is>
          <t>-</t>
        </is>
      </c>
      <c r="I22" s="40">
        <f>G22/(D22+1)</f>
        <v/>
      </c>
      <c r="J22" s="160">
        <f>60/(D22+1)</f>
        <v/>
      </c>
      <c r="K22" s="40">
        <f>J22*G22</f>
        <v/>
      </c>
      <c r="L22" s="63">
        <f>J22*E22</f>
        <v/>
      </c>
    </row>
    <row r="23">
      <c r="B23" s="26" t="inlineStr">
        <is>
          <t>E</t>
        </is>
      </c>
      <c r="C23" s="25" t="n">
        <v>1</v>
      </c>
      <c r="D23" s="25" t="n">
        <v>20</v>
      </c>
      <c r="E23" s="25" t="n">
        <v>40</v>
      </c>
      <c r="F23" s="25" t="inlineStr">
        <is>
          <t>범위 공격</t>
        </is>
      </c>
      <c r="G23" s="25" t="n">
        <v>3.3</v>
      </c>
      <c r="H23" s="25" t="n"/>
      <c r="I23" s="25">
        <f>G23/(D23+1)</f>
        <v/>
      </c>
      <c r="J23" s="25">
        <f>60/(D23+1)</f>
        <v/>
      </c>
      <c r="K23" s="25">
        <f>J23*G23</f>
        <v/>
      </c>
      <c r="L23" s="25">
        <f>J23*E23</f>
        <v/>
      </c>
    </row>
    <row r="24">
      <c r="B24" s="44" t="n"/>
      <c r="C24" s="45" t="n">
        <v>2</v>
      </c>
      <c r="D24" s="45" t="n">
        <v>19</v>
      </c>
      <c r="E24" s="45" t="n">
        <v>41</v>
      </c>
      <c r="F24" s="45" t="inlineStr">
        <is>
          <t>범위 공격</t>
        </is>
      </c>
      <c r="G24" s="45" t="n">
        <v>3.5</v>
      </c>
      <c r="H24" s="45" t="n"/>
      <c r="I24" s="60">
        <f>G24/(D24+1)</f>
        <v/>
      </c>
      <c r="J24" s="60">
        <f>60/(D24+1)</f>
        <v/>
      </c>
      <c r="K24" s="60">
        <f>J24*G24</f>
        <v/>
      </c>
      <c r="L24" s="60">
        <f>J24*E24</f>
        <v/>
      </c>
    </row>
    <row r="25">
      <c r="B25" s="44" t="n"/>
      <c r="C25" s="45" t="n">
        <v>3</v>
      </c>
      <c r="D25" s="45" t="n">
        <v>18</v>
      </c>
      <c r="E25" s="45" t="n">
        <v>43</v>
      </c>
      <c r="F25" s="45" t="inlineStr">
        <is>
          <t>범위 공격</t>
        </is>
      </c>
      <c r="G25" s="45" t="n">
        <v>3.7</v>
      </c>
      <c r="H25" s="45" t="n"/>
      <c r="I25" s="60">
        <f>G25/(D25+1)</f>
        <v/>
      </c>
      <c r="J25" s="60">
        <f>60/(D25+1)</f>
        <v/>
      </c>
      <c r="K25" s="60">
        <f>J25*G25</f>
        <v/>
      </c>
      <c r="L25" s="60">
        <f>J25*E25</f>
        <v/>
      </c>
    </row>
    <row r="26">
      <c r="B26" s="44" t="n"/>
      <c r="C26" s="45" t="n">
        <v>4</v>
      </c>
      <c r="D26" s="45" t="n">
        <v>17</v>
      </c>
      <c r="E26" s="45" t="n">
        <v>44</v>
      </c>
      <c r="F26" s="45" t="inlineStr">
        <is>
          <t>범위 공격</t>
        </is>
      </c>
      <c r="G26" s="45" t="n">
        <v>3.9</v>
      </c>
      <c r="H26" s="45" t="n"/>
      <c r="I26" s="60">
        <f>G26/(D26+1)</f>
        <v/>
      </c>
      <c r="J26" s="60">
        <f>60/(D26+1)</f>
        <v/>
      </c>
      <c r="K26" s="60">
        <f>J26*G26</f>
        <v/>
      </c>
      <c r="L26" s="60">
        <f>J26*E26</f>
        <v/>
      </c>
    </row>
    <row r="27">
      <c r="B27" s="44" t="n"/>
      <c r="C27" s="45" t="n">
        <v>5</v>
      </c>
      <c r="D27" s="45" t="n">
        <v>16</v>
      </c>
      <c r="E27" s="45" t="n">
        <v>46</v>
      </c>
      <c r="F27" s="45" t="inlineStr">
        <is>
          <t>범위 공격</t>
        </is>
      </c>
      <c r="G27" s="45" t="n">
        <v>4.1</v>
      </c>
      <c r="H27" s="45" t="n"/>
      <c r="I27" s="60">
        <f>G27/(D27+1)</f>
        <v/>
      </c>
      <c r="J27" s="60">
        <f>60/(D27+1)</f>
        <v/>
      </c>
      <c r="K27" s="60">
        <f>J27*G27</f>
        <v/>
      </c>
      <c r="L27" s="60">
        <f>J27*E27</f>
        <v/>
      </c>
    </row>
    <row r="28">
      <c r="B28" s="28" t="inlineStr">
        <is>
          <t>R</t>
        </is>
      </c>
      <c r="C28" s="27" t="n">
        <v>1</v>
      </c>
      <c r="D28" s="27" t="n">
        <v>45</v>
      </c>
      <c r="E28" s="27" t="n">
        <v>80</v>
      </c>
      <c r="F28" s="27" t="inlineStr">
        <is>
          <t>단일 공격</t>
        </is>
      </c>
      <c r="G28" s="27" t="n">
        <v>0.5</v>
      </c>
      <c r="H28" s="27" t="n"/>
      <c r="I28" s="49">
        <f>G28/(D28+1)</f>
        <v/>
      </c>
      <c r="J28" s="157">
        <f>60/(D28+1)</f>
        <v/>
      </c>
      <c r="K28" s="49">
        <f>J28*G28</f>
        <v/>
      </c>
      <c r="L28" s="51">
        <f>J28*E28</f>
        <v/>
      </c>
    </row>
    <row r="29">
      <c r="B29" s="52" t="n"/>
      <c r="C29" s="53" t="n">
        <v>2</v>
      </c>
      <c r="D29" s="53" t="n">
        <v>43</v>
      </c>
      <c r="E29" s="53" t="n">
        <v>85</v>
      </c>
      <c r="F29" s="53" t="inlineStr">
        <is>
          <t>단일 공격</t>
        </is>
      </c>
      <c r="G29" s="53" t="n">
        <v>0.5</v>
      </c>
      <c r="H29" s="53" t="n"/>
      <c r="I29" s="54">
        <f>G29/(D29+1)</f>
        <v/>
      </c>
      <c r="J29" s="158">
        <f>60/(D29+1)</f>
        <v/>
      </c>
      <c r="K29" s="54">
        <f>J29*G29</f>
        <v/>
      </c>
      <c r="L29" s="56">
        <f>J29*E29</f>
        <v/>
      </c>
    </row>
    <row r="30">
      <c r="B30" s="52" t="n"/>
      <c r="C30" s="53" t="n">
        <v>3</v>
      </c>
      <c r="D30" s="53" t="n">
        <v>41</v>
      </c>
      <c r="E30" s="53" t="n">
        <v>90</v>
      </c>
      <c r="F30" s="53" t="inlineStr">
        <is>
          <t>단일 공격</t>
        </is>
      </c>
      <c r="G30" s="53" t="n">
        <v>0.5</v>
      </c>
      <c r="H30" s="53" t="n"/>
      <c r="I30" s="54">
        <f>G30/(D30+1)</f>
        <v/>
      </c>
      <c r="J30" s="158">
        <f>60/(D30+1)</f>
        <v/>
      </c>
      <c r="K30" s="54">
        <f>J30*G30</f>
        <v/>
      </c>
      <c r="L30" s="56">
        <f>J30*E30</f>
        <v/>
      </c>
    </row>
    <row r="31">
      <c r="B31" s="52" t="n"/>
      <c r="C31" s="53" t="n">
        <v>4</v>
      </c>
      <c r="D31" s="53" t="n">
        <v>39</v>
      </c>
      <c r="E31" s="53" t="n">
        <v>95</v>
      </c>
      <c r="F31" s="53" t="inlineStr">
        <is>
          <t>단일 공격</t>
        </is>
      </c>
      <c r="G31" s="53" t="n">
        <v>0.5</v>
      </c>
      <c r="H31" s="53" t="n"/>
      <c r="I31" s="54">
        <f>G31/(D31+1)</f>
        <v/>
      </c>
      <c r="J31" s="158">
        <f>60/(D31+1)</f>
        <v/>
      </c>
      <c r="K31" s="54">
        <f>J31*G31</f>
        <v/>
      </c>
      <c r="L31" s="56">
        <f>J31*E31</f>
        <v/>
      </c>
    </row>
    <row r="32">
      <c r="B32" s="52" t="n"/>
      <c r="C32" s="53" t="n">
        <v>5</v>
      </c>
      <c r="D32" s="53" t="n">
        <v>37</v>
      </c>
      <c r="E32" s="53" t="n">
        <v>100</v>
      </c>
      <c r="F32" s="53" t="inlineStr">
        <is>
          <t>단일 공격</t>
        </is>
      </c>
      <c r="G32" s="53" t="n">
        <v>0.5</v>
      </c>
      <c r="H32" s="53" t="n"/>
      <c r="I32" s="54">
        <f>G32/(D32+1)</f>
        <v/>
      </c>
      <c r="J32" s="158">
        <f>60/(D32+1)</f>
        <v/>
      </c>
      <c r="K32" s="54">
        <f>J32*G32</f>
        <v/>
      </c>
      <c r="L32" s="56">
        <f>J32*E32</f>
        <v/>
      </c>
    </row>
    <row r="34">
      <c r="B3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5" t="n"/>
    </row>
    <row r="36" ht="21.95" customHeight="1" s="133">
      <c r="B36" s="125" t="inlineStr">
        <is>
          <t>▶ 2번 스킬셋  |  Lv.1 데이터만 확보 (Lv.2~5 편집 필요)</t>
        </is>
      </c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5" t="n"/>
    </row>
    <row r="37">
      <c r="B37" s="122" t="inlineStr">
        <is>
          <t>커맨드</t>
        </is>
      </c>
      <c r="C37" s="122" t="inlineStr">
        <is>
          <t>스킬명</t>
        </is>
      </c>
      <c r="D37" s="122" t="inlineStr">
        <is>
          <t>유형</t>
        </is>
      </c>
      <c r="E37" s="122" t="inlineStr">
        <is>
          <t>설명</t>
        </is>
      </c>
      <c r="F37" s="114" t="n"/>
      <c r="G37" s="114" t="n"/>
      <c r="H37" s="114" t="n"/>
      <c r="I37" s="114" t="n"/>
      <c r="J37" s="114" t="n"/>
      <c r="K37" s="114" t="n"/>
      <c r="L37" s="114" t="n"/>
      <c r="M37" s="115" t="n"/>
    </row>
    <row r="38" ht="18" customHeight="1" s="133">
      <c r="B38" s="21" t="inlineStr">
        <is>
          <t>Q</t>
        </is>
      </c>
      <c r="C38" s="22" t="inlineStr">
        <is>
          <t>몰아치기</t>
        </is>
      </c>
      <c r="D38" s="22" t="inlineStr">
        <is>
          <t>버프</t>
        </is>
      </c>
      <c r="E38" s="124" t="inlineStr">
        <is>
          <t>연속 공격으로 몰아칩니다.</t>
        </is>
      </c>
      <c r="F38" s="114" t="n"/>
      <c r="G38" s="114" t="n"/>
      <c r="H38" s="114" t="n"/>
      <c r="I38" s="114" t="n"/>
      <c r="J38" s="114" t="n"/>
      <c r="K38" s="114" t="n"/>
      <c r="L38" s="114" t="n"/>
      <c r="M38" s="115" t="n"/>
    </row>
    <row r="39" ht="18" customHeight="1" s="133">
      <c r="B39" s="23" t="inlineStr">
        <is>
          <t>W</t>
        </is>
      </c>
      <c r="C39" s="24" t="inlineStr">
        <is>
          <t>찌르기</t>
        </is>
      </c>
      <c r="D39" s="24" t="inlineStr">
        <is>
          <t>단일 공격</t>
        </is>
      </c>
      <c r="E39" s="126" t="inlineStr">
        <is>
          <t>검으로 적을 찌릅니다.</t>
        </is>
      </c>
      <c r="F39" s="114" t="n"/>
      <c r="G39" s="114" t="n"/>
      <c r="H39" s="114" t="n"/>
      <c r="I39" s="114" t="n"/>
      <c r="J39" s="114" t="n"/>
      <c r="K39" s="114" t="n"/>
      <c r="L39" s="114" t="n"/>
      <c r="M39" s="115" t="n"/>
    </row>
    <row r="40" ht="18" customHeight="1" s="133">
      <c r="B40" s="25" t="inlineStr">
        <is>
          <t>E</t>
        </is>
      </c>
      <c r="C40" s="26" t="inlineStr">
        <is>
          <t>결투 돌입</t>
        </is>
      </c>
      <c r="D40" s="26" t="inlineStr">
        <is>
          <t>단일 공격</t>
        </is>
      </c>
      <c r="E40" s="120" t="inlineStr">
        <is>
          <t>결투에 돌입하며 피해를 입힙니다.</t>
        </is>
      </c>
      <c r="F40" s="114" t="n"/>
      <c r="G40" s="114" t="n"/>
      <c r="H40" s="114" t="n"/>
      <c r="I40" s="114" t="n"/>
      <c r="J40" s="114" t="n"/>
      <c r="K40" s="114" t="n"/>
      <c r="L40" s="114" t="n"/>
      <c r="M40" s="115" t="n"/>
    </row>
    <row r="41" ht="18" customHeight="1" s="133">
      <c r="B41" s="27" t="inlineStr">
        <is>
          <t>R</t>
        </is>
      </c>
      <c r="C41" s="28" t="inlineStr">
        <is>
          <t>섬광의 길</t>
        </is>
      </c>
      <c r="D41" s="28" t="inlineStr">
        <is>
          <t>방향 범위 공격 (Box300×800, max5)</t>
        </is>
      </c>
      <c r="E41" s="121" t="inlineStr">
        <is>
          <t>전방 방향으로 섬광 가르기를 가해 직선 범위(300×800) 최대 5대상에게 피해를 입힙니다.</t>
        </is>
      </c>
      <c r="F41" s="114" t="n"/>
      <c r="G41" s="114" t="n"/>
      <c r="H41" s="114" t="n"/>
      <c r="I41" s="114" t="n"/>
      <c r="J41" s="114" t="n"/>
      <c r="K41" s="114" t="n"/>
      <c r="L41" s="114" t="n"/>
      <c r="M41" s="115" t="n"/>
    </row>
    <row r="43">
      <c r="B43" s="118" t="inlineStr">
        <is>
          <t>⚔️ 스킬 강화 정보 — 2번 스킬셋</t>
        </is>
      </c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5" t="n"/>
    </row>
    <row r="44" ht="30" customHeight="1" s="133">
      <c r="B44" s="130" t="inlineStr">
        <is>
          <t>커맨드</t>
        </is>
      </c>
      <c r="C44" s="130" t="inlineStr">
        <is>
          <t>레벨</t>
        </is>
      </c>
      <c r="D44" s="130" t="inlineStr">
        <is>
          <t>쿨타임(s)</t>
        </is>
      </c>
      <c r="E44" s="130" t="inlineStr">
        <is>
          <t>마나소모</t>
        </is>
      </c>
      <c r="F44" s="130" t="inlineStr">
        <is>
          <t>공격유형</t>
        </is>
      </c>
      <c r="G44" s="130" t="inlineStr">
        <is>
          <t>피해량(배율)</t>
        </is>
      </c>
      <c r="H44" s="130" t="inlineStr">
        <is>
          <t>버프/디버프</t>
        </is>
      </c>
      <c r="I44" s="130" t="inlineStr">
        <is>
          <t>DPS</t>
        </is>
      </c>
      <c r="J44" s="130" t="inlineStr">
        <is>
          <t>분당횟수</t>
        </is>
      </c>
      <c r="K44" s="130" t="inlineStr">
        <is>
          <t>1분누적피해</t>
        </is>
      </c>
      <c r="L44" s="130" t="inlineStr">
        <is>
          <t>1분마나소모</t>
        </is>
      </c>
    </row>
    <row r="45">
      <c r="B45" s="22" t="inlineStr">
        <is>
          <t>Q</t>
        </is>
      </c>
      <c r="C45" s="21" t="n">
        <v>1</v>
      </c>
      <c r="D45" s="21" t="n">
        <v>8</v>
      </c>
      <c r="E45" s="21" t="n">
        <v>10</v>
      </c>
      <c r="F45" s="21" t="inlineStr">
        <is>
          <t>단일 공격</t>
        </is>
      </c>
      <c r="G45" s="21" t="n">
        <v>1.5</v>
      </c>
      <c r="H45" s="21" t="inlineStr">
        <is>
          <t>-</t>
        </is>
      </c>
      <c r="I45" s="21">
        <f>G45/(D45+1)</f>
        <v/>
      </c>
      <c r="J45" s="153">
        <f>60/(D45+1)</f>
        <v/>
      </c>
      <c r="K45" s="21">
        <f>J45*G45</f>
        <v/>
      </c>
      <c r="L45" s="32">
        <f>J45*E45</f>
        <v/>
      </c>
    </row>
    <row r="46">
      <c r="B46" s="33" t="n"/>
      <c r="C46" s="34" t="n">
        <v>2</v>
      </c>
      <c r="D46" s="34" t="n">
        <v>7</v>
      </c>
      <c r="E46" s="34" t="n">
        <v>11</v>
      </c>
      <c r="F46" s="34" t="inlineStr">
        <is>
          <t>단일 공격</t>
        </is>
      </c>
      <c r="G46" s="34" t="n">
        <v>1.7</v>
      </c>
      <c r="H46" s="34" t="inlineStr">
        <is>
          <t>-</t>
        </is>
      </c>
      <c r="I46" s="57">
        <f>G46/(D46+1)</f>
        <v/>
      </c>
      <c r="J46" s="154">
        <f>60/(D46+1)</f>
        <v/>
      </c>
      <c r="K46" s="57">
        <f>J46*G46</f>
        <v/>
      </c>
      <c r="L46" s="37">
        <f>J46*E46</f>
        <v/>
      </c>
    </row>
    <row r="47">
      <c r="B47" s="33" t="n"/>
      <c r="C47" s="34" t="n">
        <v>3</v>
      </c>
      <c r="D47" s="34" t="n">
        <v>7</v>
      </c>
      <c r="E47" s="34" t="n">
        <v>12</v>
      </c>
      <c r="F47" s="34" t="inlineStr">
        <is>
          <t>단일 공격</t>
        </is>
      </c>
      <c r="G47" s="34" t="n">
        <v>1.9</v>
      </c>
      <c r="H47" s="34" t="inlineStr">
        <is>
          <t>-</t>
        </is>
      </c>
      <c r="I47" s="57">
        <f>G47/(D47+1)</f>
        <v/>
      </c>
      <c r="J47" s="154">
        <f>60/(D47+1)</f>
        <v/>
      </c>
      <c r="K47" s="57">
        <f>J47*G47</f>
        <v/>
      </c>
      <c r="L47" s="37">
        <f>J47*E47</f>
        <v/>
      </c>
    </row>
    <row r="48">
      <c r="B48" s="33" t="n"/>
      <c r="C48" s="34" t="n">
        <v>4</v>
      </c>
      <c r="D48" s="34" t="n">
        <v>6</v>
      </c>
      <c r="E48" s="34" t="n">
        <v>13</v>
      </c>
      <c r="F48" s="34" t="inlineStr">
        <is>
          <t>단일 공격</t>
        </is>
      </c>
      <c r="G48" s="34" t="n">
        <v>2.1</v>
      </c>
      <c r="H48" s="34" t="inlineStr">
        <is>
          <t>-</t>
        </is>
      </c>
      <c r="I48" s="57">
        <f>G48/(D48+1)</f>
        <v/>
      </c>
      <c r="J48" s="154">
        <f>60/(D48+1)</f>
        <v/>
      </c>
      <c r="K48" s="57">
        <f>J48*G48</f>
        <v/>
      </c>
      <c r="L48" s="37">
        <f>J48*E48</f>
        <v/>
      </c>
    </row>
    <row r="49">
      <c r="B49" s="33" t="n"/>
      <c r="C49" s="34" t="n">
        <v>5</v>
      </c>
      <c r="D49" s="34" t="n">
        <v>6</v>
      </c>
      <c r="E49" s="34" t="n">
        <v>14</v>
      </c>
      <c r="F49" s="34" t="inlineStr">
        <is>
          <t>단일 공격</t>
        </is>
      </c>
      <c r="G49" s="34" t="n">
        <v>2.3</v>
      </c>
      <c r="H49" s="34" t="inlineStr">
        <is>
          <t>-</t>
        </is>
      </c>
      <c r="I49" s="57">
        <f>G49/(D49+1)</f>
        <v/>
      </c>
      <c r="J49" s="154">
        <f>60/(D49+1)</f>
        <v/>
      </c>
      <c r="K49" s="57">
        <f>J49*G49</f>
        <v/>
      </c>
      <c r="L49" s="37">
        <f>J49*E49</f>
        <v/>
      </c>
    </row>
    <row r="50">
      <c r="B50" s="24" t="inlineStr">
        <is>
          <t>W</t>
        </is>
      </c>
      <c r="C50" s="23" t="n">
        <v>1</v>
      </c>
      <c r="D50" s="23" t="n">
        <v>12</v>
      </c>
      <c r="E50" s="23" t="n">
        <v>30</v>
      </c>
      <c r="F50" s="23" t="inlineStr">
        <is>
          <t>단일 공격</t>
        </is>
      </c>
      <c r="G50" s="23" t="n">
        <v>2.5</v>
      </c>
      <c r="H50" s="23" t="n"/>
      <c r="I50" s="64">
        <f>G50/(D50+1)</f>
        <v/>
      </c>
      <c r="J50" s="159">
        <f>60/(D50+1)</f>
        <v/>
      </c>
      <c r="K50" s="64">
        <f>J50*G50</f>
        <v/>
      </c>
      <c r="L50" s="62">
        <f>J50*E50</f>
        <v/>
      </c>
    </row>
    <row r="51">
      <c r="B51" s="38" t="n"/>
      <c r="C51" s="39" t="n">
        <v>2</v>
      </c>
      <c r="D51" s="39" t="n">
        <v>11</v>
      </c>
      <c r="E51" s="39" t="n">
        <v>31</v>
      </c>
      <c r="F51" s="39" t="inlineStr">
        <is>
          <t>단일 공격</t>
        </is>
      </c>
      <c r="G51" s="39" t="n">
        <v>2.7</v>
      </c>
      <c r="H51" s="39" t="n"/>
      <c r="I51" s="65">
        <f>G51/(D51+1)</f>
        <v/>
      </c>
      <c r="J51" s="160">
        <f>60/(D51+1)</f>
        <v/>
      </c>
      <c r="K51" s="65">
        <f>J51*G51</f>
        <v/>
      </c>
      <c r="L51" s="63">
        <f>J51*E51</f>
        <v/>
      </c>
    </row>
    <row r="52">
      <c r="B52" s="38" t="n"/>
      <c r="C52" s="39" t="n">
        <v>3</v>
      </c>
      <c r="D52" s="39" t="n">
        <v>10</v>
      </c>
      <c r="E52" s="39" t="n">
        <v>32</v>
      </c>
      <c r="F52" s="39" t="inlineStr">
        <is>
          <t>단일 공격</t>
        </is>
      </c>
      <c r="G52" s="39" t="n">
        <v>2.9</v>
      </c>
      <c r="H52" s="39" t="n"/>
      <c r="I52" s="65">
        <f>G52/(D52+1)</f>
        <v/>
      </c>
      <c r="J52" s="160">
        <f>60/(D52+1)</f>
        <v/>
      </c>
      <c r="K52" s="65">
        <f>J52*G52</f>
        <v/>
      </c>
      <c r="L52" s="63">
        <f>J52*E52</f>
        <v/>
      </c>
    </row>
    <row r="53">
      <c r="B53" s="38" t="n"/>
      <c r="C53" s="39" t="n">
        <v>4</v>
      </c>
      <c r="D53" s="39" t="n">
        <v>10</v>
      </c>
      <c r="E53" s="39" t="n">
        <v>33</v>
      </c>
      <c r="F53" s="39" t="inlineStr">
        <is>
          <t>단일 공격</t>
        </is>
      </c>
      <c r="G53" s="39" t="n">
        <v>3.1</v>
      </c>
      <c r="H53" s="39" t="n"/>
      <c r="I53" s="65">
        <f>G53/(D53+1)</f>
        <v/>
      </c>
      <c r="J53" s="160">
        <f>60/(D53+1)</f>
        <v/>
      </c>
      <c r="K53" s="65">
        <f>J53*G53</f>
        <v/>
      </c>
      <c r="L53" s="63">
        <f>J53*E53</f>
        <v/>
      </c>
    </row>
    <row r="54">
      <c r="B54" s="38" t="n"/>
      <c r="C54" s="39" t="n">
        <v>5</v>
      </c>
      <c r="D54" s="39" t="n">
        <v>9</v>
      </c>
      <c r="E54" s="39" t="n">
        <v>35</v>
      </c>
      <c r="F54" s="39" t="inlineStr">
        <is>
          <t>단일 공격</t>
        </is>
      </c>
      <c r="G54" s="39" t="n">
        <v>3.3</v>
      </c>
      <c r="H54" s="39" t="n"/>
      <c r="I54" s="65">
        <f>G54/(D54+1)</f>
        <v/>
      </c>
      <c r="J54" s="160">
        <f>60/(D54+1)</f>
        <v/>
      </c>
      <c r="K54" s="65">
        <f>J54*G54</f>
        <v/>
      </c>
      <c r="L54" s="63">
        <f>J54*E54</f>
        <v/>
      </c>
    </row>
    <row r="55">
      <c r="B55" s="26" t="inlineStr">
        <is>
          <t>E</t>
        </is>
      </c>
      <c r="C55" s="25" t="n">
        <v>1</v>
      </c>
      <c r="D55" s="25" t="n">
        <v>20</v>
      </c>
      <c r="E55" s="25" t="n">
        <v>50</v>
      </c>
      <c r="F55" s="25" t="inlineStr">
        <is>
          <t>단일 공격</t>
        </is>
      </c>
      <c r="G55" s="25" t="n">
        <v>3</v>
      </c>
      <c r="H55" s="25" t="n"/>
      <c r="I55" s="25">
        <f>G55/(D55+1)</f>
        <v/>
      </c>
      <c r="J55" s="25">
        <f>60/(D55+1)</f>
        <v/>
      </c>
      <c r="K55" s="25">
        <f>J55*G55</f>
        <v/>
      </c>
      <c r="L55" s="25">
        <f>J55*E55</f>
        <v/>
      </c>
    </row>
    <row r="56">
      <c r="B56" s="44" t="n"/>
      <c r="C56" s="45" t="n">
        <v>2</v>
      </c>
      <c r="D56" s="45" t="n">
        <v>18</v>
      </c>
      <c r="E56" s="45" t="n">
        <v>51</v>
      </c>
      <c r="F56" s="45" t="inlineStr">
        <is>
          <t>단일 공격</t>
        </is>
      </c>
      <c r="G56" s="45" t="n">
        <v>3.2</v>
      </c>
      <c r="H56" s="45" t="n"/>
      <c r="I56" s="60">
        <f>G56/(D56+1)</f>
        <v/>
      </c>
      <c r="J56" s="60">
        <f>60/(D56+1)</f>
        <v/>
      </c>
      <c r="K56" s="60">
        <f>J56*G56</f>
        <v/>
      </c>
      <c r="L56" s="60">
        <f>J56*E56</f>
        <v/>
      </c>
    </row>
    <row r="57">
      <c r="B57" s="44" t="n"/>
      <c r="C57" s="45" t="n">
        <v>3</v>
      </c>
      <c r="D57" s="45" t="n">
        <v>17</v>
      </c>
      <c r="E57" s="45" t="n">
        <v>52</v>
      </c>
      <c r="F57" s="45" t="inlineStr">
        <is>
          <t>단일 공격</t>
        </is>
      </c>
      <c r="G57" s="45" t="n">
        <v>3.4</v>
      </c>
      <c r="H57" s="45" t="n"/>
      <c r="I57" s="60">
        <f>G57/(D57+1)</f>
        <v/>
      </c>
      <c r="J57" s="60">
        <f>60/(D57+1)</f>
        <v/>
      </c>
      <c r="K57" s="60">
        <f>J57*G57</f>
        <v/>
      </c>
      <c r="L57" s="60">
        <f>J57*E57</f>
        <v/>
      </c>
    </row>
    <row r="58">
      <c r="B58" s="44" t="n"/>
      <c r="C58" s="45" t="n">
        <v>4</v>
      </c>
      <c r="D58" s="45" t="n">
        <v>16</v>
      </c>
      <c r="E58" s="45" t="n">
        <v>53</v>
      </c>
      <c r="F58" s="45" t="inlineStr">
        <is>
          <t>단일 공격</t>
        </is>
      </c>
      <c r="G58" s="45" t="n">
        <v>3.6</v>
      </c>
      <c r="H58" s="45" t="n"/>
      <c r="I58" s="60">
        <f>G58/(D58+1)</f>
        <v/>
      </c>
      <c r="J58" s="60">
        <f>60/(D58+1)</f>
        <v/>
      </c>
      <c r="K58" s="60">
        <f>J58*G58</f>
        <v/>
      </c>
      <c r="L58" s="60">
        <f>J58*E58</f>
        <v/>
      </c>
    </row>
    <row r="59">
      <c r="B59" s="44" t="n"/>
      <c r="C59" s="45" t="n">
        <v>5</v>
      </c>
      <c r="D59" s="45" t="n">
        <v>15</v>
      </c>
      <c r="E59" s="45" t="n">
        <v>55</v>
      </c>
      <c r="F59" s="45" t="inlineStr">
        <is>
          <t>단일 공격</t>
        </is>
      </c>
      <c r="G59" s="45" t="n">
        <v>3.8</v>
      </c>
      <c r="H59" s="45" t="n"/>
      <c r="I59" s="60">
        <f>G59/(D59+1)</f>
        <v/>
      </c>
      <c r="J59" s="60">
        <f>60/(D59+1)</f>
        <v/>
      </c>
      <c r="K59" s="60">
        <f>J59*G59</f>
        <v/>
      </c>
      <c r="L59" s="60">
        <f>J59*E59</f>
        <v/>
      </c>
    </row>
    <row r="60">
      <c r="B60" s="28" t="inlineStr">
        <is>
          <t>R</t>
        </is>
      </c>
      <c r="C60" s="27" t="n">
        <v>1</v>
      </c>
      <c r="D60" s="27" t="n">
        <v>50</v>
      </c>
      <c r="E60" s="27" t="n">
        <v>150</v>
      </c>
      <c r="F60" s="27" t="inlineStr">
        <is>
          <t>방향 범위 공격 (Box300×800, max5)</t>
        </is>
      </c>
      <c r="G60" s="27" t="n">
        <v>4</v>
      </c>
      <c r="H60" s="27" t="n"/>
      <c r="I60" s="49">
        <f>G60/(D60+1)</f>
        <v/>
      </c>
      <c r="J60" s="157">
        <f>60/(D60+1)</f>
        <v/>
      </c>
      <c r="K60" s="49">
        <f>J60*G60</f>
        <v/>
      </c>
      <c r="L60" s="51">
        <f>J60*E60</f>
        <v/>
      </c>
    </row>
    <row r="61">
      <c r="B61" s="52" t="n"/>
      <c r="C61" s="53" t="n">
        <v>2</v>
      </c>
      <c r="D61" s="53" t="n">
        <v>48</v>
      </c>
      <c r="E61" s="53" t="n">
        <v>152</v>
      </c>
      <c r="F61" s="53" t="inlineStr">
        <is>
          <t>방향 범위 공격 (Box300×800, max5)</t>
        </is>
      </c>
      <c r="G61" s="53" t="n">
        <v>4.5</v>
      </c>
      <c r="H61" s="53" t="n"/>
      <c r="I61" s="54">
        <f>G61/(D61+1)</f>
        <v/>
      </c>
      <c r="J61" s="158">
        <f>60/(D61+1)</f>
        <v/>
      </c>
      <c r="K61" s="54">
        <f>J61*G61</f>
        <v/>
      </c>
      <c r="L61" s="56">
        <f>J61*E61</f>
        <v/>
      </c>
    </row>
    <row r="62">
      <c r="B62" s="52" t="n"/>
      <c r="C62" s="53" t="n">
        <v>3</v>
      </c>
      <c r="D62" s="53" t="n">
        <v>46</v>
      </c>
      <c r="E62" s="53" t="n">
        <v>155</v>
      </c>
      <c r="F62" s="53" t="inlineStr">
        <is>
          <t>방향 범위 공격 (Box300×800, max5)</t>
        </is>
      </c>
      <c r="G62" s="53" t="n">
        <v>5</v>
      </c>
      <c r="H62" s="53" t="n"/>
      <c r="I62" s="54">
        <f>G62/(D62+1)</f>
        <v/>
      </c>
      <c r="J62" s="158">
        <f>60/(D62+1)</f>
        <v/>
      </c>
      <c r="K62" s="54">
        <f>J62*G62</f>
        <v/>
      </c>
      <c r="L62" s="56">
        <f>J62*E62</f>
        <v/>
      </c>
    </row>
    <row r="63">
      <c r="B63" s="52" t="n"/>
      <c r="C63" s="53" t="n">
        <v>4</v>
      </c>
      <c r="D63" s="53" t="n">
        <v>44</v>
      </c>
      <c r="E63" s="53" t="n">
        <v>158</v>
      </c>
      <c r="F63" s="53" t="inlineStr">
        <is>
          <t>방향 범위 공격 (Box300×800, max5)</t>
        </is>
      </c>
      <c r="G63" s="53" t="n">
        <v>5.5</v>
      </c>
      <c r="H63" s="53" t="n"/>
      <c r="I63" s="54">
        <f>G63/(D63+1)</f>
        <v/>
      </c>
      <c r="J63" s="158">
        <f>60/(D63+1)</f>
        <v/>
      </c>
      <c r="K63" s="54">
        <f>J63*G63</f>
        <v/>
      </c>
      <c r="L63" s="56">
        <f>J63*E63</f>
        <v/>
      </c>
    </row>
    <row r="64">
      <c r="B64" s="52" t="n"/>
      <c r="C64" s="53" t="n">
        <v>5</v>
      </c>
      <c r="D64" s="53" t="n">
        <v>42</v>
      </c>
      <c r="E64" s="53" t="n">
        <v>160</v>
      </c>
      <c r="F64" s="53" t="inlineStr">
        <is>
          <t>방향 범위 공격 (Box300×800, max5)</t>
        </is>
      </c>
      <c r="G64" s="53" t="n">
        <v>6</v>
      </c>
      <c r="H64" s="53" t="n"/>
      <c r="I64" s="54">
        <f>G64/(D64+1)</f>
        <v/>
      </c>
      <c r="J64" s="158">
        <f>60/(D64+1)</f>
        <v/>
      </c>
      <c r="K64" s="54">
        <f>J64*G64</f>
        <v/>
      </c>
      <c r="L64" s="56">
        <f>J64*E64</f>
        <v/>
      </c>
    </row>
    <row r="66">
      <c r="B66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5" t="n"/>
    </row>
    <row r="68" ht="21.95" customHeight="1" s="133">
      <c r="B68" s="125" t="inlineStr">
        <is>
          <t>▶ 3번 스킬셋  |  ✅ 전 레벨 데이터 확보 (시뮬레이터 구현)</t>
        </is>
      </c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5" t="n"/>
    </row>
    <row r="69">
      <c r="B69" s="122" t="inlineStr">
        <is>
          <t>커맨드</t>
        </is>
      </c>
      <c r="C69" s="122" t="inlineStr">
        <is>
          <t>스킬명</t>
        </is>
      </c>
      <c r="D69" s="122" t="inlineStr">
        <is>
          <t>유형</t>
        </is>
      </c>
      <c r="E69" s="122" t="inlineStr">
        <is>
          <t>설명</t>
        </is>
      </c>
      <c r="F69" s="114" t="n"/>
      <c r="G69" s="114" t="n"/>
      <c r="H69" s="114" t="n"/>
      <c r="I69" s="114" t="n"/>
      <c r="J69" s="114" t="n"/>
      <c r="K69" s="114" t="n"/>
      <c r="L69" s="114" t="n"/>
      <c r="M69" s="115" t="n"/>
    </row>
    <row r="70" ht="18" customHeight="1" s="133">
      <c r="B70" s="21" t="inlineStr">
        <is>
          <t>Q</t>
        </is>
      </c>
      <c r="C70" s="22" t="inlineStr">
        <is>
          <t>가벼운 손놀림</t>
        </is>
      </c>
      <c r="D70" s="22" t="inlineStr">
        <is>
          <t>자기중심 광역 (평타 강화)</t>
        </is>
      </c>
      <c r="E70" s="124" t="inlineStr">
        <is>
          <t>손놀림을 가볍게 하여 다음 기본 공격을 강화합니다.</t>
        </is>
      </c>
      <c r="F70" s="114" t="n"/>
      <c r="G70" s="114" t="n"/>
      <c r="H70" s="114" t="n"/>
      <c r="I70" s="114" t="n"/>
      <c r="J70" s="114" t="n"/>
      <c r="K70" s="114" t="n"/>
      <c r="L70" s="114" t="n"/>
      <c r="M70" s="115" t="n"/>
    </row>
    <row r="71" ht="18" customHeight="1" s="133">
      <c r="B71" s="23" t="inlineStr">
        <is>
          <t>W</t>
        </is>
      </c>
      <c r="C71" s="24" t="inlineStr">
        <is>
          <t>대지 가르기</t>
        </is>
      </c>
      <c r="D71" s="24" t="inlineStr">
        <is>
          <t>방향 공격</t>
        </is>
      </c>
      <c r="E71" s="126" t="inlineStr">
        <is>
          <t>검으로 땅을 내리쳐 충격파로 피해를 입힙니다.</t>
        </is>
      </c>
      <c r="F71" s="114" t="n"/>
      <c r="G71" s="114" t="n"/>
      <c r="H71" s="114" t="n"/>
      <c r="I71" s="114" t="n"/>
      <c r="J71" s="114" t="n"/>
      <c r="K71" s="114" t="n"/>
      <c r="L71" s="114" t="n"/>
      <c r="M71" s="115" t="n"/>
    </row>
    <row r="72" ht="18" customHeight="1" s="133">
      <c r="B72" s="25" t="inlineStr">
        <is>
          <t>E</t>
        </is>
      </c>
      <c r="C72" s="26" t="inlineStr">
        <is>
          <t>휘몰이</t>
        </is>
      </c>
      <c r="D72" s="26" t="inlineStr">
        <is>
          <t>범위 공격 (6-hit 합산)</t>
        </is>
      </c>
      <c r="E72" s="120" t="inlineStr">
        <is>
          <t>주변을 검으로 6회 연속 베어 피해를 입힙니다. (50%×6=300% Lv1)</t>
        </is>
      </c>
      <c r="F72" s="114" t="n"/>
      <c r="G72" s="114" t="n"/>
      <c r="H72" s="114" t="n"/>
      <c r="I72" s="114" t="n"/>
      <c r="J72" s="114" t="n"/>
      <c r="K72" s="114" t="n"/>
      <c r="L72" s="114" t="n"/>
      <c r="M72" s="115" t="n"/>
    </row>
    <row r="73" ht="18" customHeight="1" s="133">
      <c r="B73" s="27" t="inlineStr">
        <is>
          <t>R</t>
        </is>
      </c>
      <c r="C73" s="28" t="inlineStr">
        <is>
          <t>적진으로</t>
        </is>
      </c>
      <c r="D73" s="28" t="inlineStr">
        <is>
          <t>돌진 + 착지 범위 공격 (max100)</t>
        </is>
      </c>
      <c r="E73" s="121" t="inlineStr">
        <is>
          <t>지정 위치로 돌진 후 착지 반경 300 내 최대 100대상에게 피해를 입힙니다.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5" t="n"/>
    </row>
    <row r="75">
      <c r="B75" s="118" t="inlineStr">
        <is>
          <t>⚔️ 스킬 강화 정보 — 3번 스킬셋</t>
        </is>
      </c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5" t="n"/>
    </row>
    <row r="76" ht="30" customHeight="1" s="133">
      <c r="B76" s="130" t="inlineStr">
        <is>
          <t>커맨드</t>
        </is>
      </c>
      <c r="C76" s="130" t="inlineStr">
        <is>
          <t>레벨</t>
        </is>
      </c>
      <c r="D76" s="130" t="inlineStr">
        <is>
          <t>쿨타임(s)</t>
        </is>
      </c>
      <c r="E76" s="130" t="inlineStr">
        <is>
          <t>마나소모</t>
        </is>
      </c>
      <c r="F76" s="130" t="inlineStr">
        <is>
          <t>공격유형</t>
        </is>
      </c>
      <c r="G76" s="130" t="inlineStr">
        <is>
          <t>피해량(배율)</t>
        </is>
      </c>
      <c r="H76" s="130" t="inlineStr">
        <is>
          <t>버프/디버프</t>
        </is>
      </c>
      <c r="I76" s="130" t="inlineStr">
        <is>
          <t>DPS</t>
        </is>
      </c>
      <c r="J76" s="130" t="inlineStr">
        <is>
          <t>분당횟수</t>
        </is>
      </c>
      <c r="K76" s="130" t="inlineStr">
        <is>
          <t>1분누적피해</t>
        </is>
      </c>
      <c r="L76" s="130" t="inlineStr">
        <is>
          <t>1분마나소모</t>
        </is>
      </c>
    </row>
    <row r="77">
      <c r="B77" s="22" t="inlineStr">
        <is>
          <t>Q</t>
        </is>
      </c>
      <c r="C77" s="21" t="n">
        <v>1</v>
      </c>
      <c r="D77" s="21" t="n">
        <v>5</v>
      </c>
      <c r="E77" s="21" t="n">
        <v>10</v>
      </c>
      <c r="F77" s="21" t="inlineStr">
        <is>
          <t>자기중심 광역 (평타 강화)</t>
        </is>
      </c>
      <c r="G77" s="21" t="n">
        <v>2</v>
      </c>
      <c r="H77" s="21" t="inlineStr">
        <is>
          <t>강화 평타 부여 +200% / 5s</t>
        </is>
      </c>
      <c r="I77" s="30">
        <f>(G77-1)/(D77+1)</f>
        <v/>
      </c>
      <c r="J77" s="153">
        <f>60/(D77+1)</f>
        <v/>
      </c>
      <c r="K77" s="30">
        <f>J77*(G77-1)</f>
        <v/>
      </c>
      <c r="L77" s="32">
        <f>J77*E77</f>
        <v/>
      </c>
    </row>
    <row r="78">
      <c r="B78" s="22" t="n"/>
      <c r="C78" s="21" t="n">
        <v>2</v>
      </c>
      <c r="D78" s="21" t="n">
        <v>4.5</v>
      </c>
      <c r="E78" s="21" t="n">
        <v>11</v>
      </c>
      <c r="F78" s="21" t="inlineStr">
        <is>
          <t>자기중심 광역 (평타 강화)</t>
        </is>
      </c>
      <c r="G78" s="21" t="n">
        <v>2.2</v>
      </c>
      <c r="H78" s="21" t="inlineStr">
        <is>
          <t>강화 평타 부여 +200% / 5s</t>
        </is>
      </c>
      <c r="I78" s="30">
        <f>(G78-1)/(D78+1)</f>
        <v/>
      </c>
      <c r="J78" s="153">
        <f>60/(D78+1)</f>
        <v/>
      </c>
      <c r="K78" s="30">
        <f>J78*(G78-1)</f>
        <v/>
      </c>
      <c r="L78" s="32">
        <f>J78*E78</f>
        <v/>
      </c>
    </row>
    <row r="79">
      <c r="B79" s="22" t="n"/>
      <c r="C79" s="21" t="n">
        <v>3</v>
      </c>
      <c r="D79" s="21" t="n">
        <v>4</v>
      </c>
      <c r="E79" s="21" t="n">
        <v>13</v>
      </c>
      <c r="F79" s="21" t="inlineStr">
        <is>
          <t>자기중심 광역 (평타 강화)</t>
        </is>
      </c>
      <c r="G79" s="21" t="n">
        <v>2.4</v>
      </c>
      <c r="H79" s="21" t="inlineStr">
        <is>
          <t>강화 평타 부여 +200% / 5s</t>
        </is>
      </c>
      <c r="I79" s="30">
        <f>(G79-1)/(D79+1)</f>
        <v/>
      </c>
      <c r="J79" s="153">
        <f>60/(D79+1)</f>
        <v/>
      </c>
      <c r="K79" s="30">
        <f>J79*(G79-1)</f>
        <v/>
      </c>
      <c r="L79" s="32">
        <f>J79*E79</f>
        <v/>
      </c>
    </row>
    <row r="80">
      <c r="B80" s="22" t="n"/>
      <c r="C80" s="21" t="n">
        <v>4</v>
      </c>
      <c r="D80" s="21" t="n">
        <v>3.5</v>
      </c>
      <c r="E80" s="21" t="n">
        <v>14</v>
      </c>
      <c r="F80" s="21" t="inlineStr">
        <is>
          <t>자기중심 광역 (평타 강화)</t>
        </is>
      </c>
      <c r="G80" s="21" t="n">
        <v>2.6</v>
      </c>
      <c r="H80" s="21" t="inlineStr">
        <is>
          <t>강화 평타 부여 +200% / 5s</t>
        </is>
      </c>
      <c r="I80" s="30">
        <f>(G80-1)/(D80+1)</f>
        <v/>
      </c>
      <c r="J80" s="153">
        <f>60/(D80+1)</f>
        <v/>
      </c>
      <c r="K80" s="30">
        <f>J80*(G80-1)</f>
        <v/>
      </c>
      <c r="L80" s="32">
        <f>J80*E80</f>
        <v/>
      </c>
    </row>
    <row r="81">
      <c r="B81" s="22" t="n"/>
      <c r="C81" s="21" t="n">
        <v>5</v>
      </c>
      <c r="D81" s="21" t="n">
        <v>3</v>
      </c>
      <c r="E81" s="21" t="n">
        <v>15</v>
      </c>
      <c r="F81" s="21" t="inlineStr">
        <is>
          <t>자기중심 광역 (평타 강화)</t>
        </is>
      </c>
      <c r="G81" s="21" t="n">
        <v>2.8</v>
      </c>
      <c r="H81" s="21" t="inlineStr">
        <is>
          <t>강화 평타 부여 +200% / 5s</t>
        </is>
      </c>
      <c r="I81" s="30">
        <f>(G81-1)/(D81+1)</f>
        <v/>
      </c>
      <c r="J81" s="153">
        <f>60/(D81+1)</f>
        <v/>
      </c>
      <c r="K81" s="30">
        <f>J81*(G81-1)</f>
        <v/>
      </c>
      <c r="L81" s="32">
        <f>J81*E81</f>
        <v/>
      </c>
    </row>
    <row r="82">
      <c r="B82" s="24" t="inlineStr">
        <is>
          <t>W</t>
        </is>
      </c>
      <c r="C82" s="23" t="n">
        <v>1</v>
      </c>
      <c r="D82" s="23" t="n">
        <v>12</v>
      </c>
      <c r="E82" s="23" t="n">
        <v>30</v>
      </c>
      <c r="F82" s="23" t="inlineStr">
        <is>
          <t>방향 공격</t>
        </is>
      </c>
      <c r="G82" s="23" t="n">
        <v>2.5</v>
      </c>
      <c r="H82" s="23" t="n"/>
      <c r="I82" s="64">
        <f>G82/(D82+1)</f>
        <v/>
      </c>
      <c r="J82" s="159">
        <f>60/(D82+1)</f>
        <v/>
      </c>
      <c r="K82" s="64">
        <f>J82*G82</f>
        <v/>
      </c>
      <c r="L82" s="62">
        <f>J82*E82</f>
        <v/>
      </c>
    </row>
    <row r="83">
      <c r="B83" s="24" t="n"/>
      <c r="C83" s="23" t="n">
        <v>2</v>
      </c>
      <c r="D83" s="23" t="n">
        <v>11</v>
      </c>
      <c r="E83" s="23" t="n">
        <v>34</v>
      </c>
      <c r="F83" s="23" t="inlineStr">
        <is>
          <t>방향 공격</t>
        </is>
      </c>
      <c r="G83" s="23" t="n">
        <v>2.75</v>
      </c>
      <c r="H83" s="23" t="n"/>
      <c r="I83" s="64">
        <f>G83/(D83+1)</f>
        <v/>
      </c>
      <c r="J83" s="159">
        <f>60/(D83+1)</f>
        <v/>
      </c>
      <c r="K83" s="64">
        <f>J83*G83</f>
        <v/>
      </c>
      <c r="L83" s="62">
        <f>J83*E83</f>
        <v/>
      </c>
    </row>
    <row r="84">
      <c r="B84" s="24" t="n"/>
      <c r="C84" s="23" t="n">
        <v>3</v>
      </c>
      <c r="D84" s="23" t="n">
        <v>10</v>
      </c>
      <c r="E84" s="23" t="n">
        <v>38</v>
      </c>
      <c r="F84" s="23" t="inlineStr">
        <is>
          <t>방향 공격</t>
        </is>
      </c>
      <c r="G84" s="23" t="n">
        <v>3</v>
      </c>
      <c r="H84" s="23" t="n"/>
      <c r="I84" s="64">
        <f>G84/(D84+1)</f>
        <v/>
      </c>
      <c r="J84" s="159">
        <f>60/(D84+1)</f>
        <v/>
      </c>
      <c r="K84" s="64">
        <f>J84*G84</f>
        <v/>
      </c>
      <c r="L84" s="62">
        <f>J84*E84</f>
        <v/>
      </c>
    </row>
    <row r="85">
      <c r="B85" s="24" t="n"/>
      <c r="C85" s="23" t="n">
        <v>4</v>
      </c>
      <c r="D85" s="23" t="n">
        <v>9</v>
      </c>
      <c r="E85" s="23" t="n">
        <v>41</v>
      </c>
      <c r="F85" s="23" t="inlineStr">
        <is>
          <t>방향 공격</t>
        </is>
      </c>
      <c r="G85" s="23" t="n">
        <v>3.25</v>
      </c>
      <c r="H85" s="23" t="n"/>
      <c r="I85" s="64">
        <f>G85/(D85+1)</f>
        <v/>
      </c>
      <c r="J85" s="159">
        <f>60/(D85+1)</f>
        <v/>
      </c>
      <c r="K85" s="64">
        <f>J85*G85</f>
        <v/>
      </c>
      <c r="L85" s="62">
        <f>J85*E85</f>
        <v/>
      </c>
    </row>
    <row r="86">
      <c r="B86" s="24" t="n"/>
      <c r="C86" s="23" t="n">
        <v>5</v>
      </c>
      <c r="D86" s="23" t="n">
        <v>8</v>
      </c>
      <c r="E86" s="23" t="n">
        <v>45</v>
      </c>
      <c r="F86" s="23" t="inlineStr">
        <is>
          <t>방향 공격</t>
        </is>
      </c>
      <c r="G86" s="23" t="n">
        <v>3.5</v>
      </c>
      <c r="H86" s="23" t="n"/>
      <c r="I86" s="64">
        <f>G86/(D86+1)</f>
        <v/>
      </c>
      <c r="J86" s="159">
        <f>60/(D86+1)</f>
        <v/>
      </c>
      <c r="K86" s="64">
        <f>J86*G86</f>
        <v/>
      </c>
      <c r="L86" s="62">
        <f>J86*E86</f>
        <v/>
      </c>
    </row>
    <row r="87">
      <c r="B87" s="26" t="inlineStr">
        <is>
          <t>E</t>
        </is>
      </c>
      <c r="C87" s="25" t="n">
        <v>1</v>
      </c>
      <c r="D87" s="25" t="n">
        <v>15</v>
      </c>
      <c r="E87" s="25" t="n">
        <v>15</v>
      </c>
      <c r="F87" s="25" t="inlineStr">
        <is>
          <t>범위 공격 (6-hit 합산)</t>
        </is>
      </c>
      <c r="G87" s="25" t="n">
        <v>3</v>
      </c>
      <c r="H87" s="25" t="n"/>
      <c r="I87" s="41">
        <f>G87/(D87+1)</f>
        <v/>
      </c>
      <c r="J87" s="155">
        <f>60/(D87+1)</f>
        <v/>
      </c>
      <c r="K87" s="41">
        <f>J87*G87</f>
        <v/>
      </c>
      <c r="L87" s="43">
        <f>J87*E87</f>
        <v/>
      </c>
    </row>
    <row r="88">
      <c r="B88" s="26" t="n"/>
      <c r="C88" s="25" t="n">
        <v>2</v>
      </c>
      <c r="D88" s="25" t="n">
        <v>15</v>
      </c>
      <c r="E88" s="25" t="n">
        <v>16</v>
      </c>
      <c r="F88" s="25" t="inlineStr">
        <is>
          <t>범위 공격 (6-hit 합산)</t>
        </is>
      </c>
      <c r="G88" s="25" t="n">
        <v>3.3</v>
      </c>
      <c r="H88" s="25" t="n"/>
      <c r="I88" s="41">
        <f>G88/(D88+1)</f>
        <v/>
      </c>
      <c r="J88" s="155">
        <f>60/(D88+1)</f>
        <v/>
      </c>
      <c r="K88" s="41">
        <f>J88*G88</f>
        <v/>
      </c>
      <c r="L88" s="43">
        <f>J88*E88</f>
        <v/>
      </c>
    </row>
    <row r="89">
      <c r="B89" s="26" t="n"/>
      <c r="C89" s="25" t="n">
        <v>3</v>
      </c>
      <c r="D89" s="25" t="n">
        <v>15</v>
      </c>
      <c r="E89" s="25" t="n">
        <v>17</v>
      </c>
      <c r="F89" s="25" t="inlineStr">
        <is>
          <t>범위 공격 (6-hit 합산)</t>
        </is>
      </c>
      <c r="G89" s="25" t="n">
        <v>3.6</v>
      </c>
      <c r="H89" s="25" t="n"/>
      <c r="I89" s="41">
        <f>G89/(D89+1)</f>
        <v/>
      </c>
      <c r="J89" s="155">
        <f>60/(D89+1)</f>
        <v/>
      </c>
      <c r="K89" s="41">
        <f>J89*G89</f>
        <v/>
      </c>
      <c r="L89" s="43">
        <f>J89*E89</f>
        <v/>
      </c>
    </row>
    <row r="90">
      <c r="B90" s="26" t="n"/>
      <c r="C90" s="25" t="n">
        <v>4</v>
      </c>
      <c r="D90" s="25" t="n">
        <v>15</v>
      </c>
      <c r="E90" s="25" t="n">
        <v>18</v>
      </c>
      <c r="F90" s="25" t="inlineStr">
        <is>
          <t>범위 공격 (6-hit 합산)</t>
        </is>
      </c>
      <c r="G90" s="25" t="n">
        <v>3.9</v>
      </c>
      <c r="H90" s="25" t="n"/>
      <c r="I90" s="41">
        <f>G90/(D90+1)</f>
        <v/>
      </c>
      <c r="J90" s="155">
        <f>60/(D90+1)</f>
        <v/>
      </c>
      <c r="K90" s="41">
        <f>J90*G90</f>
        <v/>
      </c>
      <c r="L90" s="43">
        <f>J90*E90</f>
        <v/>
      </c>
    </row>
    <row r="91">
      <c r="B91" s="26" t="n"/>
      <c r="C91" s="25" t="n">
        <v>5</v>
      </c>
      <c r="D91" s="25" t="n">
        <v>15</v>
      </c>
      <c r="E91" s="25" t="n">
        <v>20</v>
      </c>
      <c r="F91" s="25" t="inlineStr">
        <is>
          <t>범위 공격 (6-hit 합산)</t>
        </is>
      </c>
      <c r="G91" s="25" t="n">
        <v>4.2</v>
      </c>
      <c r="H91" s="25" t="n"/>
      <c r="I91" s="41">
        <f>G91/(D91+1)</f>
        <v/>
      </c>
      <c r="J91" s="155">
        <f>60/(D91+1)</f>
        <v/>
      </c>
      <c r="K91" s="41">
        <f>J91*G91</f>
        <v/>
      </c>
      <c r="L91" s="43">
        <f>J91*E91</f>
        <v/>
      </c>
    </row>
    <row r="92">
      <c r="B92" s="28" t="inlineStr">
        <is>
          <t>R</t>
        </is>
      </c>
      <c r="C92" s="27" t="n">
        <v>1</v>
      </c>
      <c r="D92" s="27" t="n">
        <v>40</v>
      </c>
      <c r="E92" s="27" t="n">
        <v>50</v>
      </c>
      <c r="F92" s="27" t="inlineStr">
        <is>
          <t>돌진 + 착지 범위 공격 (max100)</t>
        </is>
      </c>
      <c r="G92" s="27" t="n">
        <v>4</v>
      </c>
      <c r="H92" s="27" t="n"/>
      <c r="I92" s="49">
        <f>G92/(D92+1)</f>
        <v/>
      </c>
      <c r="J92" s="157">
        <f>60/(D92+1)</f>
        <v/>
      </c>
      <c r="K92" s="49">
        <f>J92*G92</f>
        <v/>
      </c>
      <c r="L92" s="51">
        <f>J92*E92</f>
        <v/>
      </c>
    </row>
    <row r="93">
      <c r="B93" s="28" t="n"/>
      <c r="C93" s="27" t="n">
        <v>2</v>
      </c>
      <c r="D93" s="27" t="n">
        <v>38</v>
      </c>
      <c r="E93" s="27" t="n">
        <v>55</v>
      </c>
      <c r="F93" s="27" t="inlineStr">
        <is>
          <t>돌진 + 착지 범위 공격 (max100)</t>
        </is>
      </c>
      <c r="G93" s="27" t="n">
        <v>4.4</v>
      </c>
      <c r="H93" s="27" t="n"/>
      <c r="I93" s="49">
        <f>G93/(D93+1)</f>
        <v/>
      </c>
      <c r="J93" s="157">
        <f>60/(D93+1)</f>
        <v/>
      </c>
      <c r="K93" s="49">
        <f>J93*G93</f>
        <v/>
      </c>
      <c r="L93" s="51">
        <f>J93*E93</f>
        <v/>
      </c>
    </row>
    <row r="94">
      <c r="B94" s="28" t="n"/>
      <c r="C94" s="27" t="n">
        <v>3</v>
      </c>
      <c r="D94" s="27" t="n">
        <v>36</v>
      </c>
      <c r="E94" s="27" t="n">
        <v>60</v>
      </c>
      <c r="F94" s="27" t="inlineStr">
        <is>
          <t>돌진 + 착지 범위 공격 (max100)</t>
        </is>
      </c>
      <c r="G94" s="27" t="n">
        <v>4.8</v>
      </c>
      <c r="H94" s="27" t="n"/>
      <c r="I94" s="49">
        <f>G94/(D94+1)</f>
        <v/>
      </c>
      <c r="J94" s="157">
        <f>60/(D94+1)</f>
        <v/>
      </c>
      <c r="K94" s="49">
        <f>J94*G94</f>
        <v/>
      </c>
      <c r="L94" s="51">
        <f>J94*E94</f>
        <v/>
      </c>
    </row>
    <row r="95">
      <c r="B95" s="28" t="n"/>
      <c r="C95" s="27" t="n">
        <v>4</v>
      </c>
      <c r="D95" s="27" t="n">
        <v>34</v>
      </c>
      <c r="E95" s="27" t="n">
        <v>65</v>
      </c>
      <c r="F95" s="27" t="inlineStr">
        <is>
          <t>돌진 + 착지 범위 공격 (max100)</t>
        </is>
      </c>
      <c r="G95" s="27" t="n">
        <v>5.2</v>
      </c>
      <c r="H95" s="27" t="n"/>
      <c r="I95" s="49">
        <f>G95/(D95+1)</f>
        <v/>
      </c>
      <c r="J95" s="157">
        <f>60/(D95+1)</f>
        <v/>
      </c>
      <c r="K95" s="49">
        <f>J95*G95</f>
        <v/>
      </c>
      <c r="L95" s="51">
        <f>J95*E95</f>
        <v/>
      </c>
    </row>
    <row r="96">
      <c r="B96" s="28" t="n"/>
      <c r="C96" s="27" t="n">
        <v>5</v>
      </c>
      <c r="D96" s="27" t="n">
        <v>32</v>
      </c>
      <c r="E96" s="27" t="n">
        <v>70</v>
      </c>
      <c r="F96" s="27" t="inlineStr">
        <is>
          <t>돌진 + 착지 범위 공격 (max100)</t>
        </is>
      </c>
      <c r="G96" s="27" t="n">
        <v>5.6</v>
      </c>
      <c r="H96" s="27" t="n"/>
      <c r="I96" s="49">
        <f>G96/(D96+1)</f>
        <v/>
      </c>
      <c r="J96" s="157">
        <f>60/(D96+1)</f>
        <v/>
      </c>
      <c r="K96" s="49">
        <f>J96*G96</f>
        <v/>
      </c>
      <c r="L96" s="51">
        <f>J96*E96</f>
        <v/>
      </c>
    </row>
    <row r="98">
      <c r="B98" s="127" t="inlineStr">
        <is>
          <t>📊 지속 딜링 능력 (1분 기준) — 3번 스킬셋</t>
        </is>
      </c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5" t="n"/>
    </row>
    <row r="99">
      <c r="B99" s="122" t="inlineStr">
        <is>
          <t>레벨</t>
        </is>
      </c>
      <c r="C99" s="122" t="inlineStr">
        <is>
          <t>Q</t>
        </is>
      </c>
      <c r="D99" s="122" t="inlineStr">
        <is>
          <t>W</t>
        </is>
      </c>
      <c r="E99" s="122" t="inlineStr">
        <is>
          <t>E</t>
        </is>
      </c>
      <c r="F99" s="122" t="inlineStr">
        <is>
          <t>R</t>
        </is>
      </c>
      <c r="G99" s="122" t="inlineStr">
        <is>
          <t>1분 합계</t>
        </is>
      </c>
      <c r="H99" s="122" t="inlineStr">
        <is>
          <t>지속DPS</t>
        </is>
      </c>
      <c r="I99" s="122" t="inlineStr">
        <is>
          <t>레벨업 증가율</t>
        </is>
      </c>
    </row>
    <row r="100">
      <c r="B100" s="40" t="n">
        <v>1</v>
      </c>
      <c r="C100" s="65">
        <f>K77</f>
        <v/>
      </c>
      <c r="D100" s="65">
        <f>K82</f>
        <v/>
      </c>
      <c r="E100" s="65">
        <f>K87</f>
        <v/>
      </c>
      <c r="F100" s="65">
        <f>K92</f>
        <v/>
      </c>
      <c r="G100" s="65">
        <f>SUM(C100:F100)</f>
        <v/>
      </c>
      <c r="H100" s="65">
        <f>G100/60</f>
        <v/>
      </c>
      <c r="I100" s="40" t="inlineStr">
        <is>
          <t>-</t>
        </is>
      </c>
    </row>
    <row r="101">
      <c r="B101" s="40" t="n">
        <v>2</v>
      </c>
      <c r="C101" s="65">
        <f>K78</f>
        <v/>
      </c>
      <c r="D101" s="65">
        <f>K83</f>
        <v/>
      </c>
      <c r="E101" s="65">
        <f>K88</f>
        <v/>
      </c>
      <c r="F101" s="65">
        <f>K93</f>
        <v/>
      </c>
      <c r="G101" s="65">
        <f>SUM(C101:F101)</f>
        <v/>
      </c>
      <c r="H101" s="65">
        <f>G101/60</f>
        <v/>
      </c>
      <c r="I101" s="161">
        <f>H101/H100</f>
        <v/>
      </c>
    </row>
    <row r="102">
      <c r="B102" s="40" t="n">
        <v>3</v>
      </c>
      <c r="C102" s="65">
        <f>K79</f>
        <v/>
      </c>
      <c r="D102" s="65">
        <f>K84</f>
        <v/>
      </c>
      <c r="E102" s="65">
        <f>K89</f>
        <v/>
      </c>
      <c r="F102" s="65">
        <f>K94</f>
        <v/>
      </c>
      <c r="G102" s="65">
        <f>SUM(C102:F102)</f>
        <v/>
      </c>
      <c r="H102" s="65">
        <f>G102/60</f>
        <v/>
      </c>
      <c r="I102" s="161">
        <f>H102/H101</f>
        <v/>
      </c>
    </row>
    <row r="103">
      <c r="B103" s="40" t="n">
        <v>4</v>
      </c>
      <c r="C103" s="65">
        <f>K80</f>
        <v/>
      </c>
      <c r="D103" s="65">
        <f>K85</f>
        <v/>
      </c>
      <c r="E103" s="65">
        <f>K90</f>
        <v/>
      </c>
      <c r="F103" s="65">
        <f>K95</f>
        <v/>
      </c>
      <c r="G103" s="65">
        <f>SUM(C103:F103)</f>
        <v/>
      </c>
      <c r="H103" s="65">
        <f>G103/60</f>
        <v/>
      </c>
      <c r="I103" s="161">
        <f>H103/H102</f>
        <v/>
      </c>
    </row>
    <row r="104">
      <c r="B104" s="40" t="n">
        <v>5</v>
      </c>
      <c r="C104" s="65">
        <f>K81</f>
        <v/>
      </c>
      <c r="D104" s="65">
        <f>K86</f>
        <v/>
      </c>
      <c r="E104" s="65">
        <f>K91</f>
        <v/>
      </c>
      <c r="F104" s="65">
        <f>K96</f>
        <v/>
      </c>
      <c r="G104" s="65">
        <f>SUM(C104:F104)</f>
        <v/>
      </c>
      <c r="H104" s="65">
        <f>G104/60</f>
        <v/>
      </c>
      <c r="I104" s="161">
        <f>H104/H103</f>
        <v/>
      </c>
    </row>
    <row r="106">
      <c r="B106" s="127" t="inlineStr">
        <is>
          <t>📊 딜 비중표 (%) — 3번 스킬셋</t>
        </is>
      </c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5" t="n"/>
    </row>
    <row r="107">
      <c r="B107" s="122" t="inlineStr">
        <is>
          <t>레벨</t>
        </is>
      </c>
      <c r="C107" s="122" t="inlineStr">
        <is>
          <t>Q</t>
        </is>
      </c>
      <c r="D107" s="122" t="inlineStr">
        <is>
          <t>W</t>
        </is>
      </c>
      <c r="E107" s="122" t="inlineStr">
        <is>
          <t>E</t>
        </is>
      </c>
      <c r="F107" s="122" t="inlineStr">
        <is>
          <t>R</t>
        </is>
      </c>
    </row>
    <row r="108">
      <c r="B108" s="67" t="n">
        <v>1</v>
      </c>
      <c r="C108" s="162">
        <f>C100/G100</f>
        <v/>
      </c>
      <c r="D108" s="162">
        <f>D100/G100</f>
        <v/>
      </c>
      <c r="E108" s="162">
        <f>E100/G100</f>
        <v/>
      </c>
      <c r="F108" s="162">
        <f>F100/G100</f>
        <v/>
      </c>
    </row>
    <row r="109">
      <c r="B109" s="67" t="n">
        <v>2</v>
      </c>
      <c r="C109" s="162">
        <f>C101/G101</f>
        <v/>
      </c>
      <c r="D109" s="162">
        <f>D101/G101</f>
        <v/>
      </c>
      <c r="E109" s="162">
        <f>E101/G101</f>
        <v/>
      </c>
      <c r="F109" s="162">
        <f>F101/G101</f>
        <v/>
      </c>
    </row>
    <row r="110">
      <c r="B110" s="67" t="n">
        <v>3</v>
      </c>
      <c r="C110" s="162">
        <f>C102/G102</f>
        <v/>
      </c>
      <c r="D110" s="162">
        <f>D102/G102</f>
        <v/>
      </c>
      <c r="E110" s="162">
        <f>E102/G102</f>
        <v/>
      </c>
      <c r="F110" s="162">
        <f>F102/G102</f>
        <v/>
      </c>
    </row>
    <row r="111">
      <c r="B111" s="67" t="n">
        <v>4</v>
      </c>
      <c r="C111" s="162">
        <f>C103/G103</f>
        <v/>
      </c>
      <c r="D111" s="162">
        <f>D103/G103</f>
        <v/>
      </c>
      <c r="E111" s="162">
        <f>E103/G103</f>
        <v/>
      </c>
      <c r="F111" s="162">
        <f>F103/G103</f>
        <v/>
      </c>
    </row>
    <row r="112">
      <c r="B112" s="67" t="n">
        <v>5</v>
      </c>
      <c r="C112" s="162">
        <f>C104/G104</f>
        <v/>
      </c>
      <c r="D112" s="162">
        <f>D104/G104</f>
        <v/>
      </c>
      <c r="E112" s="162">
        <f>E104/G104</f>
        <v/>
      </c>
      <c r="F112" s="162">
        <f>F104/G104</f>
        <v/>
      </c>
    </row>
    <row r="114">
      <c r="B114" s="127" t="inlineStr">
        <is>
          <t>💧 마나 소모량 (1분 기준) — 3번 스킬셋</t>
        </is>
      </c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5" t="n"/>
    </row>
    <row r="115">
      <c r="B115" s="122" t="inlineStr">
        <is>
          <t>레벨</t>
        </is>
      </c>
      <c r="C115" s="122" t="inlineStr">
        <is>
          <t>Q</t>
        </is>
      </c>
      <c r="D115" s="122" t="inlineStr">
        <is>
          <t>W</t>
        </is>
      </c>
      <c r="E115" s="122" t="inlineStr">
        <is>
          <t>E</t>
        </is>
      </c>
      <c r="F115" s="122" t="inlineStr">
        <is>
          <t>R</t>
        </is>
      </c>
      <c r="G115" s="122" t="inlineStr">
        <is>
          <t>합계</t>
        </is>
      </c>
      <c r="H115" s="122" t="inlineStr">
        <is>
          <t>증가율</t>
        </is>
      </c>
    </row>
    <row r="116">
      <c r="B116" s="67" t="n">
        <v>1</v>
      </c>
      <c r="C116" s="69">
        <f>L77</f>
        <v/>
      </c>
      <c r="D116" s="69">
        <f>L82</f>
        <v/>
      </c>
      <c r="E116" s="69">
        <f>L87</f>
        <v/>
      </c>
      <c r="F116" s="69">
        <f>L92</f>
        <v/>
      </c>
      <c r="G116" s="69">
        <f>SUM(C116:F116)</f>
        <v/>
      </c>
      <c r="H116" s="67" t="inlineStr">
        <is>
          <t>-</t>
        </is>
      </c>
    </row>
    <row r="117">
      <c r="B117" s="67" t="n">
        <v>2</v>
      </c>
      <c r="C117" s="69">
        <f>L78</f>
        <v/>
      </c>
      <c r="D117" s="69">
        <f>L83</f>
        <v/>
      </c>
      <c r="E117" s="69">
        <f>L88</f>
        <v/>
      </c>
      <c r="F117" s="69">
        <f>L93</f>
        <v/>
      </c>
      <c r="G117" s="69">
        <f>SUM(C117:F117)</f>
        <v/>
      </c>
      <c r="H117" s="162">
        <f>G117/G116</f>
        <v/>
      </c>
    </row>
    <row r="118">
      <c r="B118" s="67" t="n">
        <v>3</v>
      </c>
      <c r="C118" s="69">
        <f>L79</f>
        <v/>
      </c>
      <c r="D118" s="69">
        <f>L84</f>
        <v/>
      </c>
      <c r="E118" s="69">
        <f>L89</f>
        <v/>
      </c>
      <c r="F118" s="69">
        <f>L94</f>
        <v/>
      </c>
      <c r="G118" s="69">
        <f>SUM(C118:F118)</f>
        <v/>
      </c>
      <c r="H118" s="162">
        <f>G118/G117</f>
        <v/>
      </c>
    </row>
    <row r="119">
      <c r="B119" s="67" t="n">
        <v>4</v>
      </c>
      <c r="C119" s="69">
        <f>L80</f>
        <v/>
      </c>
      <c r="D119" s="69">
        <f>L85</f>
        <v/>
      </c>
      <c r="E119" s="69">
        <f>L90</f>
        <v/>
      </c>
      <c r="F119" s="69">
        <f>L95</f>
        <v/>
      </c>
      <c r="G119" s="69">
        <f>SUM(C119:F119)</f>
        <v/>
      </c>
      <c r="H119" s="162">
        <f>G119/G118</f>
        <v/>
      </c>
    </row>
    <row r="120">
      <c r="B120" s="67" t="n">
        <v>5</v>
      </c>
      <c r="C120" s="69">
        <f>L81</f>
        <v/>
      </c>
      <c r="D120" s="69">
        <f>L86</f>
        <v/>
      </c>
      <c r="E120" s="69">
        <f>L91</f>
        <v/>
      </c>
      <c r="F120" s="69">
        <f>L96</f>
        <v/>
      </c>
      <c r="G120" s="69">
        <f>SUM(C120:F120)</f>
        <v/>
      </c>
      <c r="H120" s="162">
        <f>G120/G119</f>
        <v/>
      </c>
    </row>
    <row r="122">
      <c r="B122" s="127" t="inlineStr">
        <is>
          <t>📈 스킬 분석 차트 — 3번 스킬셋</t>
        </is>
      </c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5" t="n"/>
    </row>
    <row r="146">
      <c r="B146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5" t="n"/>
    </row>
  </sheetData>
  <mergeCells count="30">
    <mergeCell ref="B2:M2"/>
    <mergeCell ref="B106:L106"/>
    <mergeCell ref="B11:M11"/>
    <mergeCell ref="E40:M40"/>
    <mergeCell ref="E9:M9"/>
    <mergeCell ref="E69:M69"/>
    <mergeCell ref="B1:M1"/>
    <mergeCell ref="B122:L122"/>
    <mergeCell ref="E6:M6"/>
    <mergeCell ref="B34:M34"/>
    <mergeCell ref="B146:M146"/>
    <mergeCell ref="E70:M70"/>
    <mergeCell ref="B98:L98"/>
    <mergeCell ref="B68:M68"/>
    <mergeCell ref="E7:M7"/>
    <mergeCell ref="E72:M72"/>
    <mergeCell ref="E41:M41"/>
    <mergeCell ref="E37:M37"/>
    <mergeCell ref="B36:M36"/>
    <mergeCell ref="B4:M4"/>
    <mergeCell ref="B75:M75"/>
    <mergeCell ref="E71:M71"/>
    <mergeCell ref="E5:M5"/>
    <mergeCell ref="B66:M66"/>
    <mergeCell ref="E39:M39"/>
    <mergeCell ref="E8:M8"/>
    <mergeCell ref="B114:L114"/>
    <mergeCell ref="E73:M73"/>
    <mergeCell ref="B43:M43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94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6" customWidth="1" style="133" min="2" max="2"/>
    <col width="5" customWidth="1" style="133" min="3" max="3"/>
    <col width="9" customWidth="1" style="133" min="4" max="5"/>
    <col width="14" customWidth="1" style="133" min="6" max="6"/>
    <col width="12" customWidth="1" style="133" min="7" max="7"/>
    <col width="36" customWidth="1" style="133" min="8" max="8"/>
    <col width="9" customWidth="1" style="133" min="9" max="10"/>
    <col width="12" customWidth="1" style="133" min="11" max="12"/>
  </cols>
  <sheetData>
    <row r="1" ht="30" customHeight="1" s="133">
      <c r="B1" s="123" t="inlineStr">
        <is>
          <t>X7  지팡이  스킬 밸런스</t>
        </is>
      </c>
      <c r="C1" s="114" t="n"/>
      <c r="D1" s="114" t="n"/>
      <c r="E1" s="114" t="n"/>
      <c r="F1" s="114" t="n"/>
      <c r="G1" s="114" t="n"/>
      <c r="H1" s="114" t="n"/>
      <c r="I1" s="114" t="n"/>
      <c r="J1" s="114" t="n"/>
      <c r="K1" s="114" t="n"/>
      <c r="L1" s="114" t="n"/>
      <c r="M1" s="115" t="n"/>
    </row>
    <row r="2">
      <c r="B2" s="117" t="inlineStr">
        <is>
          <t>DoT·다중 타격·힐·CC를 갖춘 다재다능한 마법사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5" t="n"/>
    </row>
    <row r="4" ht="21.95" customHeight="1" s="133">
      <c r="B4" s="125" t="inlineStr">
        <is>
          <t>▶ 1번 스킬셋  |  Lv.1 데이터만 확보 (Lv.2~5 편집 필요)</t>
        </is>
      </c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5" t="n"/>
    </row>
    <row r="5">
      <c r="B5" s="122" t="inlineStr">
        <is>
          <t>커맨드</t>
        </is>
      </c>
      <c r="C5" s="122" t="inlineStr">
        <is>
          <t>스킬명</t>
        </is>
      </c>
      <c r="D5" s="122" t="inlineStr">
        <is>
          <t>유형</t>
        </is>
      </c>
      <c r="E5" s="122" t="inlineStr">
        <is>
          <t>설명</t>
        </is>
      </c>
      <c r="F5" s="114" t="n"/>
      <c r="G5" s="114" t="n"/>
      <c r="H5" s="114" t="n"/>
      <c r="I5" s="114" t="n"/>
      <c r="J5" s="114" t="n"/>
      <c r="K5" s="114" t="n"/>
      <c r="L5" s="114" t="n"/>
      <c r="M5" s="115" t="n"/>
    </row>
    <row r="6" ht="18" customHeight="1" s="133">
      <c r="B6" s="21" t="inlineStr">
        <is>
          <t>Q</t>
        </is>
      </c>
      <c r="C6" s="22" t="inlineStr">
        <is>
          <t>화염 장막</t>
        </is>
      </c>
      <c r="D6" s="22" t="inlineStr">
        <is>
          <t>DoT 장판 (6틱 합산)</t>
        </is>
      </c>
      <c r="E6" s="124" t="inlineStr">
        <is>
          <t>화염 장막 소환. life_time=2.9s, Interval=0.5s, 6틱×36%=216% (Lv1)</t>
        </is>
      </c>
      <c r="F6" s="114" t="n"/>
      <c r="G6" s="114" t="n"/>
      <c r="H6" s="114" t="n"/>
      <c r="I6" s="114" t="n"/>
      <c r="J6" s="114" t="n"/>
      <c r="K6" s="114" t="n"/>
      <c r="L6" s="114" t="n"/>
      <c r="M6" s="115" t="n"/>
    </row>
    <row r="7" ht="18" customHeight="1" s="133">
      <c r="B7" s="23" t="inlineStr">
        <is>
          <t>W</t>
        </is>
      </c>
      <c r="C7" s="24" t="inlineStr">
        <is>
          <t>불의 비</t>
        </is>
      </c>
      <c r="D7" s="24" t="inlineStr">
        <is>
          <t>범위 공격</t>
        </is>
      </c>
      <c r="E7" s="126" t="inlineStr">
        <is>
          <t>화염 비를 내려 피해를 입힙니다.</t>
        </is>
      </c>
      <c r="F7" s="114" t="n"/>
      <c r="G7" s="114" t="n"/>
      <c r="H7" s="114" t="n"/>
      <c r="I7" s="114" t="n"/>
      <c r="J7" s="114" t="n"/>
      <c r="K7" s="114" t="n"/>
      <c r="L7" s="114" t="n"/>
      <c r="M7" s="115" t="n"/>
    </row>
    <row r="8" ht="18" customHeight="1" s="133">
      <c r="B8" s="25" t="inlineStr">
        <is>
          <t>E</t>
        </is>
      </c>
      <c r="C8" s="26" t="inlineStr">
        <is>
          <t>화염 폭발</t>
        </is>
      </c>
      <c r="D8" s="26" t="inlineStr">
        <is>
          <t>단일 공격</t>
        </is>
      </c>
      <c r="E8" s="120" t="inlineStr">
        <is>
          <t>화염 폭발로 피해를 입힙니다.</t>
        </is>
      </c>
      <c r="F8" s="114" t="n"/>
      <c r="G8" s="114" t="n"/>
      <c r="H8" s="114" t="n"/>
      <c r="I8" s="114" t="n"/>
      <c r="J8" s="114" t="n"/>
      <c r="K8" s="114" t="n"/>
      <c r="L8" s="114" t="n"/>
      <c r="M8" s="115" t="n"/>
    </row>
    <row r="9" ht="18" customHeight="1" s="133">
      <c r="B9" s="27" t="inlineStr">
        <is>
          <t>R</t>
        </is>
      </c>
      <c r="C9" s="28" t="inlineStr">
        <is>
          <t>별똥별</t>
        </is>
      </c>
      <c r="D9" s="28" t="inlineStr">
        <is>
          <t>범위 공격 (위치 지정, max8)</t>
        </is>
      </c>
      <c r="E9" s="121" t="inlineStr">
        <is>
          <t>지정 위치에 별똥별을 소환하여 반경 300 내 최대 8대상에게 강력한 피해를 입힙니다.</t>
        </is>
      </c>
      <c r="F9" s="114" t="n"/>
      <c r="G9" s="114" t="n"/>
      <c r="H9" s="114" t="n"/>
      <c r="I9" s="114" t="n"/>
      <c r="J9" s="114" t="n"/>
      <c r="K9" s="114" t="n"/>
      <c r="L9" s="114" t="n"/>
      <c r="M9" s="115" t="n"/>
    </row>
    <row r="11">
      <c r="B11" s="118" t="inlineStr">
        <is>
          <t>⚔️ 스킬 강화 정보 — 1번 스킬셋</t>
        </is>
      </c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5" t="n"/>
    </row>
    <row r="12" ht="30" customHeight="1" s="133">
      <c r="B12" s="130" t="inlineStr">
        <is>
          <t>커맨드</t>
        </is>
      </c>
      <c r="C12" s="130" t="inlineStr">
        <is>
          <t>레벨</t>
        </is>
      </c>
      <c r="D12" s="130" t="inlineStr">
        <is>
          <t>쿨타임(s)</t>
        </is>
      </c>
      <c r="E12" s="130" t="inlineStr">
        <is>
          <t>마나소모</t>
        </is>
      </c>
      <c r="F12" s="130" t="inlineStr">
        <is>
          <t>공격유형</t>
        </is>
      </c>
      <c r="G12" s="130" t="inlineStr">
        <is>
          <t>피해량(배율)</t>
        </is>
      </c>
      <c r="H12" s="130" t="inlineStr">
        <is>
          <t>버프/디버프</t>
        </is>
      </c>
      <c r="I12" s="130" t="inlineStr">
        <is>
          <t>DPS</t>
        </is>
      </c>
      <c r="J12" s="130" t="inlineStr">
        <is>
          <t>분당횟수</t>
        </is>
      </c>
      <c r="K12" s="130" t="inlineStr">
        <is>
          <t>1분누적피해</t>
        </is>
      </c>
      <c r="L12" s="130" t="inlineStr">
        <is>
          <t>1분마나소모</t>
        </is>
      </c>
    </row>
    <row r="13">
      <c r="B13" s="22" t="inlineStr">
        <is>
          <t>Q</t>
        </is>
      </c>
      <c r="C13" s="21" t="n">
        <v>1</v>
      </c>
      <c r="D13" s="21" t="n">
        <v>8</v>
      </c>
      <c r="E13" s="21" t="n">
        <v>30</v>
      </c>
      <c r="F13" s="21" t="inlineStr">
        <is>
          <t>DoT 장판 (6틱 합산)</t>
        </is>
      </c>
      <c r="G13" s="21" t="n">
        <v>2.16</v>
      </c>
      <c r="H13" s="21" t="n"/>
      <c r="I13" s="30">
        <f>G13/(D13+1)</f>
        <v/>
      </c>
      <c r="J13" s="153">
        <f>60/(D13+1)</f>
        <v/>
      </c>
      <c r="K13" s="30">
        <f>J13*G13</f>
        <v/>
      </c>
      <c r="L13" s="32">
        <f>J13*E13</f>
        <v/>
      </c>
    </row>
    <row r="14">
      <c r="B14" s="33" t="n"/>
      <c r="C14" s="34" t="n">
        <v>2</v>
      </c>
      <c r="D14" s="34" t="n">
        <v>8</v>
      </c>
      <c r="E14" s="34" t="n">
        <v>30</v>
      </c>
      <c r="F14" s="34" t="inlineStr">
        <is>
          <t>DoT 장판 (6틱 합산)</t>
        </is>
      </c>
      <c r="G14" s="34" t="n">
        <v>2.16</v>
      </c>
      <c r="H14" s="34" t="n"/>
      <c r="I14" s="35">
        <f>G14/(D14+1)</f>
        <v/>
      </c>
      <c r="J14" s="154">
        <f>60/(D14+1)</f>
        <v/>
      </c>
      <c r="K14" s="35">
        <f>J14*G14</f>
        <v/>
      </c>
      <c r="L14" s="37">
        <f>J14*E14</f>
        <v/>
      </c>
    </row>
    <row r="15">
      <c r="B15" s="33" t="n"/>
      <c r="C15" s="34" t="n">
        <v>3</v>
      </c>
      <c r="D15" s="34" t="n">
        <v>8</v>
      </c>
      <c r="E15" s="34" t="n">
        <v>30</v>
      </c>
      <c r="F15" s="34" t="inlineStr">
        <is>
          <t>DoT 장판 (6틱 합산)</t>
        </is>
      </c>
      <c r="G15" s="34" t="n">
        <v>2.16</v>
      </c>
      <c r="H15" s="34" t="n"/>
      <c r="I15" s="35">
        <f>G15/(D15+1)</f>
        <v/>
      </c>
      <c r="J15" s="154">
        <f>60/(D15+1)</f>
        <v/>
      </c>
      <c r="K15" s="35">
        <f>J15*G15</f>
        <v/>
      </c>
      <c r="L15" s="37">
        <f>J15*E15</f>
        <v/>
      </c>
    </row>
    <row r="16">
      <c r="B16" s="33" t="n"/>
      <c r="C16" s="34" t="n">
        <v>4</v>
      </c>
      <c r="D16" s="34" t="n">
        <v>8</v>
      </c>
      <c r="E16" s="34" t="n">
        <v>30</v>
      </c>
      <c r="F16" s="34" t="inlineStr">
        <is>
          <t>DoT 장판 (6틱 합산)</t>
        </is>
      </c>
      <c r="G16" s="34" t="n">
        <v>2.16</v>
      </c>
      <c r="H16" s="34" t="n"/>
      <c r="I16" s="35">
        <f>G16/(D16+1)</f>
        <v/>
      </c>
      <c r="J16" s="154">
        <f>60/(D16+1)</f>
        <v/>
      </c>
      <c r="K16" s="35">
        <f>J16*G16</f>
        <v/>
      </c>
      <c r="L16" s="37">
        <f>J16*E16</f>
        <v/>
      </c>
    </row>
    <row r="17">
      <c r="B17" s="33" t="n"/>
      <c r="C17" s="34" t="n">
        <v>5</v>
      </c>
      <c r="D17" s="34" t="n">
        <v>8</v>
      </c>
      <c r="E17" s="34" t="n">
        <v>30</v>
      </c>
      <c r="F17" s="34" t="inlineStr">
        <is>
          <t>DoT 장판 (6틱 합산)</t>
        </is>
      </c>
      <c r="G17" s="34" t="n">
        <v>2.16</v>
      </c>
      <c r="H17" s="34" t="n"/>
      <c r="I17" s="35">
        <f>G17/(D17+1)</f>
        <v/>
      </c>
      <c r="J17" s="154">
        <f>60/(D17+1)</f>
        <v/>
      </c>
      <c r="K17" s="35">
        <f>J17*G17</f>
        <v/>
      </c>
      <c r="L17" s="37">
        <f>J17*E17</f>
        <v/>
      </c>
    </row>
    <row r="18">
      <c r="B18" s="24" t="inlineStr">
        <is>
          <t>W</t>
        </is>
      </c>
      <c r="C18" s="23" t="n">
        <v>1</v>
      </c>
      <c r="D18" s="23" t="n">
        <v>15</v>
      </c>
      <c r="E18" s="23" t="n">
        <v>50</v>
      </c>
      <c r="F18" s="23" t="inlineStr">
        <is>
          <t>범위 공격</t>
        </is>
      </c>
      <c r="G18" s="23" t="n">
        <v>4</v>
      </c>
      <c r="H18" s="23" t="n"/>
      <c r="I18" s="64">
        <f>G18/(D18+1)</f>
        <v/>
      </c>
      <c r="J18" s="159">
        <f>60/(D18+1)</f>
        <v/>
      </c>
      <c r="K18" s="64">
        <f>J18*G18</f>
        <v/>
      </c>
      <c r="L18" s="62">
        <f>J18*E18</f>
        <v/>
      </c>
    </row>
    <row r="19">
      <c r="B19" s="38" t="n"/>
      <c r="C19" s="39" t="n">
        <v>2</v>
      </c>
      <c r="D19" s="39" t="n">
        <v>15</v>
      </c>
      <c r="E19" s="39" t="n">
        <v>50</v>
      </c>
      <c r="F19" s="39" t="inlineStr">
        <is>
          <t>범위 공격</t>
        </is>
      </c>
      <c r="G19" s="39" t="n">
        <v>4</v>
      </c>
      <c r="H19" s="39" t="n"/>
      <c r="I19" s="65">
        <f>G19/(D19+1)</f>
        <v/>
      </c>
      <c r="J19" s="160">
        <f>60/(D19+1)</f>
        <v/>
      </c>
      <c r="K19" s="65">
        <f>J19*G19</f>
        <v/>
      </c>
      <c r="L19" s="63">
        <f>J19*E19</f>
        <v/>
      </c>
    </row>
    <row r="20">
      <c r="B20" s="38" t="n"/>
      <c r="C20" s="39" t="n">
        <v>3</v>
      </c>
      <c r="D20" s="39" t="n">
        <v>15</v>
      </c>
      <c r="E20" s="39" t="n">
        <v>50</v>
      </c>
      <c r="F20" s="39" t="inlineStr">
        <is>
          <t>범위 공격</t>
        </is>
      </c>
      <c r="G20" s="39" t="n">
        <v>4</v>
      </c>
      <c r="H20" s="39" t="n"/>
      <c r="I20" s="65">
        <f>G20/(D20+1)</f>
        <v/>
      </c>
      <c r="J20" s="160">
        <f>60/(D20+1)</f>
        <v/>
      </c>
      <c r="K20" s="65">
        <f>J20*G20</f>
        <v/>
      </c>
      <c r="L20" s="63">
        <f>J20*E20</f>
        <v/>
      </c>
    </row>
    <row r="21">
      <c r="B21" s="38" t="n"/>
      <c r="C21" s="39" t="n">
        <v>4</v>
      </c>
      <c r="D21" s="39" t="n">
        <v>15</v>
      </c>
      <c r="E21" s="39" t="n">
        <v>50</v>
      </c>
      <c r="F21" s="39" t="inlineStr">
        <is>
          <t>범위 공격</t>
        </is>
      </c>
      <c r="G21" s="39" t="n">
        <v>4</v>
      </c>
      <c r="H21" s="39" t="n"/>
      <c r="I21" s="65">
        <f>G21/(D21+1)</f>
        <v/>
      </c>
      <c r="J21" s="160">
        <f>60/(D21+1)</f>
        <v/>
      </c>
      <c r="K21" s="65">
        <f>J21*G21</f>
        <v/>
      </c>
      <c r="L21" s="63">
        <f>J21*E21</f>
        <v/>
      </c>
    </row>
    <row r="22">
      <c r="B22" s="38" t="n"/>
      <c r="C22" s="39" t="n">
        <v>5</v>
      </c>
      <c r="D22" s="39" t="n">
        <v>15</v>
      </c>
      <c r="E22" s="39" t="n">
        <v>50</v>
      </c>
      <c r="F22" s="39" t="inlineStr">
        <is>
          <t>범위 공격</t>
        </is>
      </c>
      <c r="G22" s="39" t="n">
        <v>4</v>
      </c>
      <c r="H22" s="39" t="n"/>
      <c r="I22" s="65">
        <f>G22/(D22+1)</f>
        <v/>
      </c>
      <c r="J22" s="160">
        <f>60/(D22+1)</f>
        <v/>
      </c>
      <c r="K22" s="65">
        <f>J22*G22</f>
        <v/>
      </c>
      <c r="L22" s="63">
        <f>J22*E22</f>
        <v/>
      </c>
    </row>
    <row r="23">
      <c r="B23" s="26" t="inlineStr">
        <is>
          <t>E</t>
        </is>
      </c>
      <c r="C23" s="25" t="n">
        <v>1</v>
      </c>
      <c r="D23" s="25" t="n">
        <v>20</v>
      </c>
      <c r="E23" s="25" t="n">
        <v>20</v>
      </c>
      <c r="F23" s="25" t="inlineStr">
        <is>
          <t>단일 공격</t>
        </is>
      </c>
      <c r="G23" s="25" t="n">
        <v>2</v>
      </c>
      <c r="H23" s="25" t="n"/>
      <c r="I23" s="41">
        <f>G23/(D23+1)</f>
        <v/>
      </c>
      <c r="J23" s="155">
        <f>60/(D23+1)</f>
        <v/>
      </c>
      <c r="K23" s="41">
        <f>J23*G23</f>
        <v/>
      </c>
      <c r="L23" s="43">
        <f>J23*E23</f>
        <v/>
      </c>
    </row>
    <row r="24">
      <c r="B24" s="44" t="n"/>
      <c r="C24" s="45" t="n">
        <v>2</v>
      </c>
      <c r="D24" s="45" t="n">
        <v>20</v>
      </c>
      <c r="E24" s="45" t="n">
        <v>20</v>
      </c>
      <c r="F24" s="45" t="inlineStr">
        <is>
          <t>단일 공격</t>
        </is>
      </c>
      <c r="G24" s="45" t="n">
        <v>2</v>
      </c>
      <c r="H24" s="45" t="n"/>
      <c r="I24" s="46">
        <f>G24/(D24+1)</f>
        <v/>
      </c>
      <c r="J24" s="156">
        <f>60/(D24+1)</f>
        <v/>
      </c>
      <c r="K24" s="46">
        <f>J24*G24</f>
        <v/>
      </c>
      <c r="L24" s="48">
        <f>J24*E24</f>
        <v/>
      </c>
    </row>
    <row r="25">
      <c r="B25" s="44" t="n"/>
      <c r="C25" s="45" t="n">
        <v>3</v>
      </c>
      <c r="D25" s="45" t="n">
        <v>20</v>
      </c>
      <c r="E25" s="45" t="n">
        <v>20</v>
      </c>
      <c r="F25" s="45" t="inlineStr">
        <is>
          <t>단일 공격</t>
        </is>
      </c>
      <c r="G25" s="45" t="n">
        <v>2</v>
      </c>
      <c r="H25" s="45" t="n"/>
      <c r="I25" s="46">
        <f>G25/(D25+1)</f>
        <v/>
      </c>
      <c r="J25" s="156">
        <f>60/(D25+1)</f>
        <v/>
      </c>
      <c r="K25" s="46">
        <f>J25*G25</f>
        <v/>
      </c>
      <c r="L25" s="48">
        <f>J25*E25</f>
        <v/>
      </c>
    </row>
    <row r="26">
      <c r="B26" s="44" t="n"/>
      <c r="C26" s="45" t="n">
        <v>4</v>
      </c>
      <c r="D26" s="45" t="n">
        <v>20</v>
      </c>
      <c r="E26" s="45" t="n">
        <v>20</v>
      </c>
      <c r="F26" s="45" t="inlineStr">
        <is>
          <t>단일 공격</t>
        </is>
      </c>
      <c r="G26" s="45" t="n">
        <v>2</v>
      </c>
      <c r="H26" s="45" t="n"/>
      <c r="I26" s="46">
        <f>G26/(D26+1)</f>
        <v/>
      </c>
      <c r="J26" s="156">
        <f>60/(D26+1)</f>
        <v/>
      </c>
      <c r="K26" s="46">
        <f>J26*G26</f>
        <v/>
      </c>
      <c r="L26" s="48">
        <f>J26*E26</f>
        <v/>
      </c>
    </row>
    <row r="27">
      <c r="B27" s="44" t="n"/>
      <c r="C27" s="45" t="n">
        <v>5</v>
      </c>
      <c r="D27" s="45" t="n">
        <v>20</v>
      </c>
      <c r="E27" s="45" t="n">
        <v>20</v>
      </c>
      <c r="F27" s="45" t="inlineStr">
        <is>
          <t>단일 공격</t>
        </is>
      </c>
      <c r="G27" s="45" t="n">
        <v>2</v>
      </c>
      <c r="H27" s="45" t="n"/>
      <c r="I27" s="46">
        <f>G27/(D27+1)</f>
        <v/>
      </c>
      <c r="J27" s="156">
        <f>60/(D27+1)</f>
        <v/>
      </c>
      <c r="K27" s="46">
        <f>J27*G27</f>
        <v/>
      </c>
      <c r="L27" s="48">
        <f>J27*E27</f>
        <v/>
      </c>
    </row>
    <row r="28">
      <c r="B28" s="28" t="inlineStr">
        <is>
          <t>R</t>
        </is>
      </c>
      <c r="C28" s="27" t="n">
        <v>1</v>
      </c>
      <c r="D28" s="27" t="n">
        <v>40</v>
      </c>
      <c r="E28" s="27" t="n">
        <v>100</v>
      </c>
      <c r="F28" s="27" t="inlineStr">
        <is>
          <t>범위 공격 (위치 지정, max8)</t>
        </is>
      </c>
      <c r="G28" s="27" t="n">
        <v>6</v>
      </c>
      <c r="H28" s="27" t="n"/>
      <c r="I28" s="49">
        <f>G28/(D28+1)</f>
        <v/>
      </c>
      <c r="J28" s="157">
        <f>60/(D28+1)</f>
        <v/>
      </c>
      <c r="K28" s="49">
        <f>J28*G28</f>
        <v/>
      </c>
      <c r="L28" s="51">
        <f>J28*E28</f>
        <v/>
      </c>
    </row>
    <row r="29">
      <c r="B29" s="52" t="n"/>
      <c r="C29" s="53" t="n">
        <v>2</v>
      </c>
      <c r="D29" s="53" t="n">
        <v>40</v>
      </c>
      <c r="E29" s="53" t="n">
        <v>100</v>
      </c>
      <c r="F29" s="53" t="inlineStr">
        <is>
          <t>범위 공격 (위치 지정, max8)</t>
        </is>
      </c>
      <c r="G29" s="53" t="n">
        <v>6</v>
      </c>
      <c r="H29" s="53" t="n"/>
      <c r="I29" s="54">
        <f>G29/(D29+1)</f>
        <v/>
      </c>
      <c r="J29" s="158">
        <f>60/(D29+1)</f>
        <v/>
      </c>
      <c r="K29" s="54">
        <f>J29*G29</f>
        <v/>
      </c>
      <c r="L29" s="56">
        <f>J29*E29</f>
        <v/>
      </c>
    </row>
    <row r="30">
      <c r="B30" s="52" t="n"/>
      <c r="C30" s="53" t="n">
        <v>3</v>
      </c>
      <c r="D30" s="53" t="n">
        <v>40</v>
      </c>
      <c r="E30" s="53" t="n">
        <v>100</v>
      </c>
      <c r="F30" s="53" t="inlineStr">
        <is>
          <t>범위 공격 (위치 지정, max8)</t>
        </is>
      </c>
      <c r="G30" s="53" t="n">
        <v>6</v>
      </c>
      <c r="H30" s="53" t="n"/>
      <c r="I30" s="54">
        <f>G30/(D30+1)</f>
        <v/>
      </c>
      <c r="J30" s="158">
        <f>60/(D30+1)</f>
        <v/>
      </c>
      <c r="K30" s="54">
        <f>J30*G30</f>
        <v/>
      </c>
      <c r="L30" s="56">
        <f>J30*E30</f>
        <v/>
      </c>
    </row>
    <row r="31">
      <c r="B31" s="52" t="n"/>
      <c r="C31" s="53" t="n">
        <v>4</v>
      </c>
      <c r="D31" s="53" t="n">
        <v>40</v>
      </c>
      <c r="E31" s="53" t="n">
        <v>100</v>
      </c>
      <c r="F31" s="53" t="inlineStr">
        <is>
          <t>범위 공격 (위치 지정, max8)</t>
        </is>
      </c>
      <c r="G31" s="53" t="n">
        <v>6</v>
      </c>
      <c r="H31" s="53" t="n"/>
      <c r="I31" s="54">
        <f>G31/(D31+1)</f>
        <v/>
      </c>
      <c r="J31" s="158">
        <f>60/(D31+1)</f>
        <v/>
      </c>
      <c r="K31" s="54">
        <f>J31*G31</f>
        <v/>
      </c>
      <c r="L31" s="56">
        <f>J31*E31</f>
        <v/>
      </c>
    </row>
    <row r="32">
      <c r="B32" s="52" t="n"/>
      <c r="C32" s="53" t="n">
        <v>5</v>
      </c>
      <c r="D32" s="53" t="n">
        <v>40</v>
      </c>
      <c r="E32" s="53" t="n">
        <v>100</v>
      </c>
      <c r="F32" s="53" t="inlineStr">
        <is>
          <t>범위 공격 (위치 지정, max8)</t>
        </is>
      </c>
      <c r="G32" s="53" t="n">
        <v>6</v>
      </c>
      <c r="H32" s="53" t="n"/>
      <c r="I32" s="54">
        <f>G32/(D32+1)</f>
        <v/>
      </c>
      <c r="J32" s="158">
        <f>60/(D32+1)</f>
        <v/>
      </c>
      <c r="K32" s="54">
        <f>J32*G32</f>
        <v/>
      </c>
      <c r="L32" s="56">
        <f>J32*E32</f>
        <v/>
      </c>
    </row>
    <row r="34">
      <c r="B3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5" t="n"/>
    </row>
    <row r="36" ht="21.95" customHeight="1" s="133">
      <c r="B36" s="125" t="inlineStr">
        <is>
          <t>▶ 2번 스킬셋  |  ✅ 전 레벨 데이터 확보</t>
        </is>
      </c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5" t="n"/>
    </row>
    <row r="37">
      <c r="B37" s="122" t="inlineStr">
        <is>
          <t>커맨드</t>
        </is>
      </c>
      <c r="C37" s="122" t="inlineStr">
        <is>
          <t>스킬명</t>
        </is>
      </c>
      <c r="D37" s="122" t="inlineStr">
        <is>
          <t>유형</t>
        </is>
      </c>
      <c r="E37" s="122" t="inlineStr">
        <is>
          <t>설명</t>
        </is>
      </c>
      <c r="F37" s="114" t="n"/>
      <c r="G37" s="114" t="n"/>
      <c r="H37" s="114" t="n"/>
      <c r="I37" s="114" t="n"/>
      <c r="J37" s="114" t="n"/>
      <c r="K37" s="114" t="n"/>
      <c r="L37" s="114" t="n"/>
      <c r="M37" s="115" t="n"/>
    </row>
    <row r="38" ht="18" customHeight="1" s="133">
      <c r="B38" s="21" t="inlineStr">
        <is>
          <t>Q</t>
        </is>
      </c>
      <c r="C38" s="22" t="inlineStr">
        <is>
          <t>신비한 가시 나무</t>
        </is>
      </c>
      <c r="D38" s="22" t="inlineStr">
        <is>
          <t>DoT 장판 (6틱 합산)</t>
        </is>
      </c>
      <c r="E38" s="124" t="inlineStr">
        <is>
          <t>가시 나무 DoT. life_time=2.9s, Interval=0.5s, 6틱 합산. 36/42/48/54/60%×6</t>
        </is>
      </c>
      <c r="F38" s="114" t="n"/>
      <c r="G38" s="114" t="n"/>
      <c r="H38" s="114" t="n"/>
      <c r="I38" s="114" t="n"/>
      <c r="J38" s="114" t="n"/>
      <c r="K38" s="114" t="n"/>
      <c r="L38" s="114" t="n"/>
      <c r="M38" s="115" t="n"/>
    </row>
    <row r="39" ht="18" customHeight="1" s="133">
      <c r="B39" s="23" t="inlineStr">
        <is>
          <t>W</t>
        </is>
      </c>
      <c r="C39" s="24" t="inlineStr">
        <is>
          <t>가시 나무 덩쿨</t>
        </is>
      </c>
      <c r="D39" s="24" t="inlineStr">
        <is>
          <t>범위 공격 + CC</t>
        </is>
      </c>
      <c r="E39" s="126" t="inlineStr">
        <is>
          <t>덩쿨로 적을 잡아 피해를 입히고 부유 상태로 만듭니다.</t>
        </is>
      </c>
      <c r="F39" s="114" t="n"/>
      <c r="G39" s="114" t="n"/>
      <c r="H39" s="114" t="n"/>
      <c r="I39" s="114" t="n"/>
      <c r="J39" s="114" t="n"/>
      <c r="K39" s="114" t="n"/>
      <c r="L39" s="114" t="n"/>
      <c r="M39" s="115" t="n"/>
    </row>
    <row r="40" ht="18" customHeight="1" s="133">
      <c r="B40" s="25" t="inlineStr">
        <is>
          <t>E</t>
        </is>
      </c>
      <c r="C40" s="26" t="inlineStr">
        <is>
          <t>치유의 꽃잎</t>
        </is>
      </c>
      <c r="D40" s="26" t="inlineStr">
        <is>
          <t>힐</t>
        </is>
      </c>
      <c r="E40" s="120" t="inlineStr">
        <is>
          <t>꽃잎으로 자신의 HP를 회복합니다. (피해량=0)</t>
        </is>
      </c>
      <c r="F40" s="114" t="n"/>
      <c r="G40" s="114" t="n"/>
      <c r="H40" s="114" t="n"/>
      <c r="I40" s="114" t="n"/>
      <c r="J40" s="114" t="n"/>
      <c r="K40" s="114" t="n"/>
      <c r="L40" s="114" t="n"/>
      <c r="M40" s="115" t="n"/>
    </row>
    <row r="41" ht="18" customHeight="1" s="133">
      <c r="B41" s="27" t="inlineStr">
        <is>
          <t>R</t>
        </is>
      </c>
      <c r="C41" s="28" t="inlineStr">
        <is>
          <t>치유의 바람</t>
        </is>
      </c>
      <c r="D41" s="28" t="inlineStr">
        <is>
          <t>힐 DoT</t>
        </is>
      </c>
      <c r="E41" s="121" t="inlineStr">
        <is>
          <t>치유의 바람이 지속적으로 HP를 회복합니다. (피해량=0)</t>
        </is>
      </c>
      <c r="F41" s="114" t="n"/>
      <c r="G41" s="114" t="n"/>
      <c r="H41" s="114" t="n"/>
      <c r="I41" s="114" t="n"/>
      <c r="J41" s="114" t="n"/>
      <c r="K41" s="114" t="n"/>
      <c r="L41" s="114" t="n"/>
      <c r="M41" s="115" t="n"/>
    </row>
    <row r="43">
      <c r="B43" s="118" t="inlineStr">
        <is>
          <t>⚔️ 스킬 강화 정보 — 2번 스킬셋</t>
        </is>
      </c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5" t="n"/>
    </row>
    <row r="44" ht="30" customHeight="1" s="133">
      <c r="B44" s="130" t="inlineStr">
        <is>
          <t>커맨드</t>
        </is>
      </c>
      <c r="C44" s="130" t="inlineStr">
        <is>
          <t>레벨</t>
        </is>
      </c>
      <c r="D44" s="130" t="inlineStr">
        <is>
          <t>쿨타임(s)</t>
        </is>
      </c>
      <c r="E44" s="130" t="inlineStr">
        <is>
          <t>마나소모</t>
        </is>
      </c>
      <c r="F44" s="130" t="inlineStr">
        <is>
          <t>공격유형</t>
        </is>
      </c>
      <c r="G44" s="130" t="inlineStr">
        <is>
          <t>피해량(배율)</t>
        </is>
      </c>
      <c r="H44" s="130" t="inlineStr">
        <is>
          <t>버프/디버프</t>
        </is>
      </c>
      <c r="I44" s="130" t="inlineStr">
        <is>
          <t>DPS</t>
        </is>
      </c>
      <c r="J44" s="130" t="inlineStr">
        <is>
          <t>분당횟수</t>
        </is>
      </c>
      <c r="K44" s="130" t="inlineStr">
        <is>
          <t>1분누적피해</t>
        </is>
      </c>
      <c r="L44" s="130" t="inlineStr">
        <is>
          <t>1분마나소모</t>
        </is>
      </c>
    </row>
    <row r="45">
      <c r="B45" s="22" t="inlineStr">
        <is>
          <t>Q</t>
        </is>
      </c>
      <c r="C45" s="21" t="n">
        <v>1</v>
      </c>
      <c r="D45" s="21" t="n">
        <v>8</v>
      </c>
      <c r="E45" s="21" t="n">
        <v>20</v>
      </c>
      <c r="F45" s="21" t="inlineStr">
        <is>
          <t>DoT 장판 (6틱 합산)</t>
        </is>
      </c>
      <c r="G45" s="21" t="n">
        <v>2.16</v>
      </c>
      <c r="H45" s="21" t="n"/>
      <c r="I45" s="30">
        <f>G45/(D45+1)</f>
        <v/>
      </c>
      <c r="J45" s="153">
        <f>60/(D45+1)</f>
        <v/>
      </c>
      <c r="K45" s="30">
        <f>J45*G45</f>
        <v/>
      </c>
      <c r="L45" s="32">
        <f>J45*E45</f>
        <v/>
      </c>
    </row>
    <row r="46">
      <c r="B46" s="22" t="n"/>
      <c r="C46" s="21" t="n">
        <v>2</v>
      </c>
      <c r="D46" s="21" t="n">
        <v>8</v>
      </c>
      <c r="E46" s="21" t="n">
        <v>22</v>
      </c>
      <c r="F46" s="21" t="inlineStr">
        <is>
          <t>DoT 장판 (6틱 합산)</t>
        </is>
      </c>
      <c r="G46" s="21" t="n">
        <v>2.52</v>
      </c>
      <c r="H46" s="21" t="n"/>
      <c r="I46" s="30">
        <f>G46/(D46+1)</f>
        <v/>
      </c>
      <c r="J46" s="153">
        <f>60/(D46+1)</f>
        <v/>
      </c>
      <c r="K46" s="30">
        <f>J46*G46</f>
        <v/>
      </c>
      <c r="L46" s="32">
        <f>J46*E46</f>
        <v/>
      </c>
    </row>
    <row r="47">
      <c r="B47" s="22" t="n"/>
      <c r="C47" s="21" t="n">
        <v>3</v>
      </c>
      <c r="D47" s="21" t="n">
        <v>8</v>
      </c>
      <c r="E47" s="21" t="n">
        <v>24</v>
      </c>
      <c r="F47" s="21" t="inlineStr">
        <is>
          <t>DoT 장판 (6틱 합산)</t>
        </is>
      </c>
      <c r="G47" s="21" t="n">
        <v>2.88</v>
      </c>
      <c r="H47" s="21" t="n"/>
      <c r="I47" s="30">
        <f>G47/(D47+1)</f>
        <v/>
      </c>
      <c r="J47" s="153">
        <f>60/(D47+1)</f>
        <v/>
      </c>
      <c r="K47" s="30">
        <f>J47*G47</f>
        <v/>
      </c>
      <c r="L47" s="32">
        <f>J47*E47</f>
        <v/>
      </c>
    </row>
    <row r="48">
      <c r="B48" s="22" t="n"/>
      <c r="C48" s="21" t="n">
        <v>4</v>
      </c>
      <c r="D48" s="21" t="n">
        <v>8</v>
      </c>
      <c r="E48" s="21" t="n">
        <v>26</v>
      </c>
      <c r="F48" s="21" t="inlineStr">
        <is>
          <t>DoT 장판 (6틱 합산)</t>
        </is>
      </c>
      <c r="G48" s="21" t="n">
        <v>3.24</v>
      </c>
      <c r="H48" s="21" t="n"/>
      <c r="I48" s="30">
        <f>G48/(D48+1)</f>
        <v/>
      </c>
      <c r="J48" s="153">
        <f>60/(D48+1)</f>
        <v/>
      </c>
      <c r="K48" s="30">
        <f>J48*G48</f>
        <v/>
      </c>
      <c r="L48" s="32">
        <f>J48*E48</f>
        <v/>
      </c>
    </row>
    <row r="49">
      <c r="B49" s="22" t="n"/>
      <c r="C49" s="21" t="n">
        <v>5</v>
      </c>
      <c r="D49" s="21" t="n">
        <v>8</v>
      </c>
      <c r="E49" s="21" t="n">
        <v>28</v>
      </c>
      <c r="F49" s="21" t="inlineStr">
        <is>
          <t>DoT 장판 (6틱 합산)</t>
        </is>
      </c>
      <c r="G49" s="21" t="n">
        <v>3.6</v>
      </c>
      <c r="H49" s="21" t="n"/>
      <c r="I49" s="30">
        <f>G49/(D49+1)</f>
        <v/>
      </c>
      <c r="J49" s="153">
        <f>60/(D49+1)</f>
        <v/>
      </c>
      <c r="K49" s="30">
        <f>J49*G49</f>
        <v/>
      </c>
      <c r="L49" s="32">
        <f>J49*E49</f>
        <v/>
      </c>
    </row>
    <row r="50">
      <c r="B50" s="24" t="inlineStr">
        <is>
          <t>W</t>
        </is>
      </c>
      <c r="C50" s="23" t="n">
        <v>1</v>
      </c>
      <c r="D50" s="23" t="n">
        <v>12</v>
      </c>
      <c r="E50" s="23" t="n">
        <v>40</v>
      </c>
      <c r="F50" s="23" t="inlineStr">
        <is>
          <t>범위 공격 + CC</t>
        </is>
      </c>
      <c r="G50" s="23" t="n">
        <v>2.5</v>
      </c>
      <c r="H50" s="23" t="inlineStr">
        <is>
          <t>부유</t>
        </is>
      </c>
      <c r="I50" s="64">
        <f>G50/(D50+1)</f>
        <v/>
      </c>
      <c r="J50" s="159">
        <f>60/(D50+1)</f>
        <v/>
      </c>
      <c r="K50" s="64">
        <f>J50*G50</f>
        <v/>
      </c>
      <c r="L50" s="62">
        <f>J50*E50</f>
        <v/>
      </c>
    </row>
    <row r="51">
      <c r="B51" s="24" t="n"/>
      <c r="C51" s="23" t="n">
        <v>2</v>
      </c>
      <c r="D51" s="23" t="n">
        <v>12</v>
      </c>
      <c r="E51" s="23" t="n">
        <v>44</v>
      </c>
      <c r="F51" s="23" t="inlineStr">
        <is>
          <t>범위 공격 + CC</t>
        </is>
      </c>
      <c r="G51" s="23" t="n">
        <v>2.7</v>
      </c>
      <c r="H51" s="23" t="inlineStr">
        <is>
          <t>부유</t>
        </is>
      </c>
      <c r="I51" s="64">
        <f>G51/(D51+1)</f>
        <v/>
      </c>
      <c r="J51" s="159">
        <f>60/(D51+1)</f>
        <v/>
      </c>
      <c r="K51" s="64">
        <f>J51*G51</f>
        <v/>
      </c>
      <c r="L51" s="62">
        <f>J51*E51</f>
        <v/>
      </c>
    </row>
    <row r="52">
      <c r="B52" s="24" t="n"/>
      <c r="C52" s="23" t="n">
        <v>3</v>
      </c>
      <c r="D52" s="23" t="n">
        <v>12</v>
      </c>
      <c r="E52" s="23" t="n">
        <v>48</v>
      </c>
      <c r="F52" s="23" t="inlineStr">
        <is>
          <t>범위 공격 + CC</t>
        </is>
      </c>
      <c r="G52" s="23" t="n">
        <v>2.9</v>
      </c>
      <c r="H52" s="23" t="inlineStr">
        <is>
          <t>부유</t>
        </is>
      </c>
      <c r="I52" s="64">
        <f>G52/(D52+1)</f>
        <v/>
      </c>
      <c r="J52" s="159">
        <f>60/(D52+1)</f>
        <v/>
      </c>
      <c r="K52" s="64">
        <f>J52*G52</f>
        <v/>
      </c>
      <c r="L52" s="62">
        <f>J52*E52</f>
        <v/>
      </c>
    </row>
    <row r="53">
      <c r="B53" s="24" t="n"/>
      <c r="C53" s="23" t="n">
        <v>4</v>
      </c>
      <c r="D53" s="23" t="n">
        <v>12</v>
      </c>
      <c r="E53" s="23" t="n">
        <v>52</v>
      </c>
      <c r="F53" s="23" t="inlineStr">
        <is>
          <t>범위 공격 + CC</t>
        </is>
      </c>
      <c r="G53" s="23" t="n">
        <v>3.1</v>
      </c>
      <c r="H53" s="23" t="inlineStr">
        <is>
          <t>부유</t>
        </is>
      </c>
      <c r="I53" s="64">
        <f>G53/(D53+1)</f>
        <v/>
      </c>
      <c r="J53" s="159">
        <f>60/(D53+1)</f>
        <v/>
      </c>
      <c r="K53" s="64">
        <f>J53*G53</f>
        <v/>
      </c>
      <c r="L53" s="62">
        <f>J53*E53</f>
        <v/>
      </c>
    </row>
    <row r="54">
      <c r="B54" s="24" t="n"/>
      <c r="C54" s="23" t="n">
        <v>5</v>
      </c>
      <c r="D54" s="23" t="n">
        <v>12</v>
      </c>
      <c r="E54" s="23" t="n">
        <v>56</v>
      </c>
      <c r="F54" s="23" t="inlineStr">
        <is>
          <t>범위 공격 + CC</t>
        </is>
      </c>
      <c r="G54" s="23" t="n">
        <v>3.3</v>
      </c>
      <c r="H54" s="23" t="inlineStr">
        <is>
          <t>부유</t>
        </is>
      </c>
      <c r="I54" s="64">
        <f>G54/(D54+1)</f>
        <v/>
      </c>
      <c r="J54" s="159">
        <f>60/(D54+1)</f>
        <v/>
      </c>
      <c r="K54" s="64">
        <f>J54*G54</f>
        <v/>
      </c>
      <c r="L54" s="62">
        <f>J54*E54</f>
        <v/>
      </c>
    </row>
    <row r="55">
      <c r="B55" s="26" t="inlineStr">
        <is>
          <t>E</t>
        </is>
      </c>
      <c r="C55" s="25" t="n">
        <v>1</v>
      </c>
      <c r="D55" s="25" t="n">
        <v>1</v>
      </c>
      <c r="E55" s="25" t="n">
        <v>10</v>
      </c>
      <c r="F55" s="25" t="inlineStr">
        <is>
          <t>힐</t>
        </is>
      </c>
      <c r="G55" s="25" t="n">
        <v>0</v>
      </c>
      <c r="H55" s="25" t="inlineStr">
        <is>
          <t>힐</t>
        </is>
      </c>
      <c r="I55" s="25" t="inlineStr">
        <is>
          <t>-</t>
        </is>
      </c>
      <c r="J55" s="155">
        <f>60/(D55+1)</f>
        <v/>
      </c>
      <c r="K55" s="25" t="inlineStr">
        <is>
          <t>0</t>
        </is>
      </c>
      <c r="L55" s="43">
        <f>J55*E55</f>
        <v/>
      </c>
    </row>
    <row r="56">
      <c r="B56" s="26" t="n"/>
      <c r="C56" s="25" t="n">
        <v>2</v>
      </c>
      <c r="D56" s="25" t="n">
        <v>1</v>
      </c>
      <c r="E56" s="25" t="n">
        <v>11</v>
      </c>
      <c r="F56" s="25" t="inlineStr">
        <is>
          <t>힐</t>
        </is>
      </c>
      <c r="G56" s="25" t="n">
        <v>0</v>
      </c>
      <c r="H56" s="25" t="inlineStr">
        <is>
          <t>힐</t>
        </is>
      </c>
      <c r="I56" s="25" t="inlineStr">
        <is>
          <t>-</t>
        </is>
      </c>
      <c r="J56" s="155">
        <f>60/(D56+1)</f>
        <v/>
      </c>
      <c r="K56" s="25" t="inlineStr">
        <is>
          <t>0</t>
        </is>
      </c>
      <c r="L56" s="43">
        <f>J56*E56</f>
        <v/>
      </c>
    </row>
    <row r="57">
      <c r="B57" s="26" t="n"/>
      <c r="C57" s="25" t="n">
        <v>3</v>
      </c>
      <c r="D57" s="25" t="n">
        <v>1</v>
      </c>
      <c r="E57" s="25" t="n">
        <v>12</v>
      </c>
      <c r="F57" s="25" t="inlineStr">
        <is>
          <t>힐</t>
        </is>
      </c>
      <c r="G57" s="25" t="n">
        <v>0</v>
      </c>
      <c r="H57" s="25" t="inlineStr">
        <is>
          <t>힐</t>
        </is>
      </c>
      <c r="I57" s="25" t="inlineStr">
        <is>
          <t>-</t>
        </is>
      </c>
      <c r="J57" s="155">
        <f>60/(D57+1)</f>
        <v/>
      </c>
      <c r="K57" s="25" t="inlineStr">
        <is>
          <t>0</t>
        </is>
      </c>
      <c r="L57" s="43">
        <f>J57*E57</f>
        <v/>
      </c>
    </row>
    <row r="58">
      <c r="B58" s="26" t="n"/>
      <c r="C58" s="25" t="n">
        <v>4</v>
      </c>
      <c r="D58" s="25" t="n">
        <v>1</v>
      </c>
      <c r="E58" s="25" t="n">
        <v>13</v>
      </c>
      <c r="F58" s="25" t="inlineStr">
        <is>
          <t>힐</t>
        </is>
      </c>
      <c r="G58" s="25" t="n">
        <v>0</v>
      </c>
      <c r="H58" s="25" t="inlineStr">
        <is>
          <t>힐</t>
        </is>
      </c>
      <c r="I58" s="25" t="inlineStr">
        <is>
          <t>-</t>
        </is>
      </c>
      <c r="J58" s="155">
        <f>60/(D58+1)</f>
        <v/>
      </c>
      <c r="K58" s="25" t="inlineStr">
        <is>
          <t>0</t>
        </is>
      </c>
      <c r="L58" s="43">
        <f>J58*E58</f>
        <v/>
      </c>
    </row>
    <row r="59">
      <c r="B59" s="26" t="n"/>
      <c r="C59" s="25" t="n">
        <v>5</v>
      </c>
      <c r="D59" s="25" t="n">
        <v>1</v>
      </c>
      <c r="E59" s="25" t="n">
        <v>14</v>
      </c>
      <c r="F59" s="25" t="inlineStr">
        <is>
          <t>힐</t>
        </is>
      </c>
      <c r="G59" s="25" t="n">
        <v>0</v>
      </c>
      <c r="H59" s="25" t="inlineStr">
        <is>
          <t>힐</t>
        </is>
      </c>
      <c r="I59" s="25" t="inlineStr">
        <is>
          <t>-</t>
        </is>
      </c>
      <c r="J59" s="155">
        <f>60/(D59+1)</f>
        <v/>
      </c>
      <c r="K59" s="25" t="inlineStr">
        <is>
          <t>0</t>
        </is>
      </c>
      <c r="L59" s="43">
        <f>J59*E59</f>
        <v/>
      </c>
    </row>
    <row r="60">
      <c r="B60" s="28" t="inlineStr">
        <is>
          <t>R</t>
        </is>
      </c>
      <c r="C60" s="27" t="n">
        <v>1</v>
      </c>
      <c r="D60" s="27" t="n">
        <v>30</v>
      </c>
      <c r="E60" s="27" t="n">
        <v>100</v>
      </c>
      <c r="F60" s="27" t="inlineStr">
        <is>
          <t>힐 DoT</t>
        </is>
      </c>
      <c r="G60" s="27" t="n">
        <v>0</v>
      </c>
      <c r="H60" s="27" t="inlineStr">
        <is>
          <t>힐DoT</t>
        </is>
      </c>
      <c r="I60" s="27" t="inlineStr">
        <is>
          <t>-</t>
        </is>
      </c>
      <c r="J60" s="157">
        <f>60/(D60+1)</f>
        <v/>
      </c>
      <c r="K60" s="27" t="inlineStr">
        <is>
          <t>0</t>
        </is>
      </c>
      <c r="L60" s="51">
        <f>J60*E60</f>
        <v/>
      </c>
    </row>
    <row r="61">
      <c r="B61" s="28" t="n"/>
      <c r="C61" s="27" t="n">
        <v>2</v>
      </c>
      <c r="D61" s="27" t="n">
        <v>30</v>
      </c>
      <c r="E61" s="27" t="n">
        <v>110</v>
      </c>
      <c r="F61" s="27" t="inlineStr">
        <is>
          <t>힐 DoT</t>
        </is>
      </c>
      <c r="G61" s="27" t="n">
        <v>0</v>
      </c>
      <c r="H61" s="27" t="inlineStr">
        <is>
          <t>힐DoT</t>
        </is>
      </c>
      <c r="I61" s="27" t="inlineStr">
        <is>
          <t>-</t>
        </is>
      </c>
      <c r="J61" s="157">
        <f>60/(D61+1)</f>
        <v/>
      </c>
      <c r="K61" s="27" t="inlineStr">
        <is>
          <t>0</t>
        </is>
      </c>
      <c r="L61" s="51">
        <f>J61*E61</f>
        <v/>
      </c>
    </row>
    <row r="62">
      <c r="B62" s="28" t="n"/>
      <c r="C62" s="27" t="n">
        <v>3</v>
      </c>
      <c r="D62" s="27" t="n">
        <v>30</v>
      </c>
      <c r="E62" s="27" t="n">
        <v>120</v>
      </c>
      <c r="F62" s="27" t="inlineStr">
        <is>
          <t>힐 DoT</t>
        </is>
      </c>
      <c r="G62" s="27" t="n">
        <v>0</v>
      </c>
      <c r="H62" s="27" t="inlineStr">
        <is>
          <t>힐DoT</t>
        </is>
      </c>
      <c r="I62" s="27" t="inlineStr">
        <is>
          <t>-</t>
        </is>
      </c>
      <c r="J62" s="157">
        <f>60/(D62+1)</f>
        <v/>
      </c>
      <c r="K62" s="27" t="inlineStr">
        <is>
          <t>0</t>
        </is>
      </c>
      <c r="L62" s="51">
        <f>J62*E62</f>
        <v/>
      </c>
    </row>
    <row r="63">
      <c r="B63" s="28" t="n"/>
      <c r="C63" s="27" t="n">
        <v>4</v>
      </c>
      <c r="D63" s="27" t="n">
        <v>30</v>
      </c>
      <c r="E63" s="27" t="n">
        <v>130</v>
      </c>
      <c r="F63" s="27" t="inlineStr">
        <is>
          <t>힐 DoT</t>
        </is>
      </c>
      <c r="G63" s="27" t="n">
        <v>0</v>
      </c>
      <c r="H63" s="27" t="inlineStr">
        <is>
          <t>힐DoT</t>
        </is>
      </c>
      <c r="I63" s="27" t="inlineStr">
        <is>
          <t>-</t>
        </is>
      </c>
      <c r="J63" s="157">
        <f>60/(D63+1)</f>
        <v/>
      </c>
      <c r="K63" s="27" t="inlineStr">
        <is>
          <t>0</t>
        </is>
      </c>
      <c r="L63" s="51">
        <f>J63*E63</f>
        <v/>
      </c>
    </row>
    <row r="64">
      <c r="B64" s="28" t="n"/>
      <c r="C64" s="27" t="n">
        <v>5</v>
      </c>
      <c r="D64" s="27" t="n">
        <v>30</v>
      </c>
      <c r="E64" s="27" t="n">
        <v>140</v>
      </c>
      <c r="F64" s="27" t="inlineStr">
        <is>
          <t>힐 DoT</t>
        </is>
      </c>
      <c r="G64" s="27" t="n">
        <v>0</v>
      </c>
      <c r="H64" s="27" t="inlineStr">
        <is>
          <t>힐DoT</t>
        </is>
      </c>
      <c r="I64" s="27" t="inlineStr">
        <is>
          <t>-</t>
        </is>
      </c>
      <c r="J64" s="157">
        <f>60/(D64+1)</f>
        <v/>
      </c>
      <c r="K64" s="27" t="inlineStr">
        <is>
          <t>0</t>
        </is>
      </c>
      <c r="L64" s="51">
        <f>J64*E64</f>
        <v/>
      </c>
    </row>
    <row r="66">
      <c r="B66" s="127" t="inlineStr">
        <is>
          <t>📊 지속 딜링 능력 (1분 기준) — 2번 스킬셋</t>
        </is>
      </c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5" t="n"/>
    </row>
    <row r="67">
      <c r="B67" s="122" t="inlineStr">
        <is>
          <t>레벨</t>
        </is>
      </c>
      <c r="C67" s="122" t="inlineStr">
        <is>
          <t>Q</t>
        </is>
      </c>
      <c r="D67" s="122" t="inlineStr">
        <is>
          <t>W</t>
        </is>
      </c>
      <c r="E67" s="122" t="inlineStr">
        <is>
          <t>E</t>
        </is>
      </c>
      <c r="F67" s="122" t="inlineStr">
        <is>
          <t>R</t>
        </is>
      </c>
      <c r="G67" s="122" t="inlineStr">
        <is>
          <t>1분 합계</t>
        </is>
      </c>
      <c r="H67" s="122" t="inlineStr">
        <is>
          <t>지속DPS</t>
        </is>
      </c>
      <c r="I67" s="122" t="inlineStr">
        <is>
          <t>레벨업 증가율</t>
        </is>
      </c>
    </row>
    <row r="68">
      <c r="B68" s="40" t="n">
        <v>1</v>
      </c>
      <c r="C68" s="65">
        <f>K45</f>
        <v/>
      </c>
      <c r="D68" s="65">
        <f>K50</f>
        <v/>
      </c>
      <c r="E68" s="65">
        <f>K55</f>
        <v/>
      </c>
      <c r="F68" s="65">
        <f>K60</f>
        <v/>
      </c>
      <c r="G68" s="65">
        <f>SUM(C68:F68)</f>
        <v/>
      </c>
      <c r="H68" s="65">
        <f>G68/60</f>
        <v/>
      </c>
      <c r="I68" s="40" t="inlineStr">
        <is>
          <t>-</t>
        </is>
      </c>
    </row>
    <row r="69">
      <c r="B69" s="40" t="n">
        <v>2</v>
      </c>
      <c r="C69" s="65">
        <f>K46</f>
        <v/>
      </c>
      <c r="D69" s="65">
        <f>K51</f>
        <v/>
      </c>
      <c r="E69" s="65">
        <f>K56</f>
        <v/>
      </c>
      <c r="F69" s="65">
        <f>K61</f>
        <v/>
      </c>
      <c r="G69" s="65">
        <f>SUM(C69:F69)</f>
        <v/>
      </c>
      <c r="H69" s="65">
        <f>G69/60</f>
        <v/>
      </c>
      <c r="I69" s="161">
        <f>H69/H68</f>
        <v/>
      </c>
    </row>
    <row r="70">
      <c r="B70" s="40" t="n">
        <v>3</v>
      </c>
      <c r="C70" s="65">
        <f>K47</f>
        <v/>
      </c>
      <c r="D70" s="65">
        <f>K52</f>
        <v/>
      </c>
      <c r="E70" s="65">
        <f>K57</f>
        <v/>
      </c>
      <c r="F70" s="65">
        <f>K62</f>
        <v/>
      </c>
      <c r="G70" s="65">
        <f>SUM(C70:F70)</f>
        <v/>
      </c>
      <c r="H70" s="65">
        <f>G70/60</f>
        <v/>
      </c>
      <c r="I70" s="161">
        <f>H70/H69</f>
        <v/>
      </c>
    </row>
    <row r="71">
      <c r="B71" s="40" t="n">
        <v>4</v>
      </c>
      <c r="C71" s="65">
        <f>K48</f>
        <v/>
      </c>
      <c r="D71" s="65">
        <f>K53</f>
        <v/>
      </c>
      <c r="E71" s="65">
        <f>K58</f>
        <v/>
      </c>
      <c r="F71" s="65">
        <f>K63</f>
        <v/>
      </c>
      <c r="G71" s="65">
        <f>SUM(C71:F71)</f>
        <v/>
      </c>
      <c r="H71" s="65">
        <f>G71/60</f>
        <v/>
      </c>
      <c r="I71" s="161">
        <f>H71/H70</f>
        <v/>
      </c>
    </row>
    <row r="72">
      <c r="B72" s="40" t="n">
        <v>5</v>
      </c>
      <c r="C72" s="65">
        <f>K49</f>
        <v/>
      </c>
      <c r="D72" s="65">
        <f>K54</f>
        <v/>
      </c>
      <c r="E72" s="65">
        <f>K59</f>
        <v/>
      </c>
      <c r="F72" s="65">
        <f>K64</f>
        <v/>
      </c>
      <c r="G72" s="65">
        <f>SUM(C72:F72)</f>
        <v/>
      </c>
      <c r="H72" s="65">
        <f>G72/60</f>
        <v/>
      </c>
      <c r="I72" s="161">
        <f>H72/H71</f>
        <v/>
      </c>
    </row>
    <row r="74">
      <c r="B74" s="127" t="inlineStr">
        <is>
          <t>📊 딜 비중표 (%) — 2번 스킬셋</t>
        </is>
      </c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5" t="n"/>
    </row>
    <row r="75">
      <c r="B75" s="122" t="inlineStr">
        <is>
          <t>레벨</t>
        </is>
      </c>
      <c r="C75" s="122" t="inlineStr">
        <is>
          <t>Q</t>
        </is>
      </c>
      <c r="D75" s="122" t="inlineStr">
        <is>
          <t>W</t>
        </is>
      </c>
      <c r="E75" s="122" t="inlineStr">
        <is>
          <t>E</t>
        </is>
      </c>
      <c r="F75" s="122" t="inlineStr">
        <is>
          <t>R</t>
        </is>
      </c>
    </row>
    <row r="76">
      <c r="B76" s="67" t="n">
        <v>1</v>
      </c>
      <c r="C76" s="162">
        <f>C68/G68</f>
        <v/>
      </c>
      <c r="D76" s="162">
        <f>D68/G68</f>
        <v/>
      </c>
      <c r="E76" s="162">
        <f>E68/G68</f>
        <v/>
      </c>
      <c r="F76" s="162">
        <f>F68/G68</f>
        <v/>
      </c>
    </row>
    <row r="77">
      <c r="B77" s="67" t="n">
        <v>2</v>
      </c>
      <c r="C77" s="162">
        <f>C69/G69</f>
        <v/>
      </c>
      <c r="D77" s="162">
        <f>D69/G69</f>
        <v/>
      </c>
      <c r="E77" s="162">
        <f>E69/G69</f>
        <v/>
      </c>
      <c r="F77" s="162">
        <f>F69/G69</f>
        <v/>
      </c>
    </row>
    <row r="78">
      <c r="B78" s="67" t="n">
        <v>3</v>
      </c>
      <c r="C78" s="162">
        <f>C70/G70</f>
        <v/>
      </c>
      <c r="D78" s="162">
        <f>D70/G70</f>
        <v/>
      </c>
      <c r="E78" s="162">
        <f>E70/G70</f>
        <v/>
      </c>
      <c r="F78" s="162">
        <f>F70/G70</f>
        <v/>
      </c>
    </row>
    <row r="79">
      <c r="B79" s="67" t="n">
        <v>4</v>
      </c>
      <c r="C79" s="162">
        <f>C71/G71</f>
        <v/>
      </c>
      <c r="D79" s="162">
        <f>D71/G71</f>
        <v/>
      </c>
      <c r="E79" s="162">
        <f>E71/G71</f>
        <v/>
      </c>
      <c r="F79" s="162">
        <f>F71/G71</f>
        <v/>
      </c>
    </row>
    <row r="80">
      <c r="B80" s="67" t="n">
        <v>5</v>
      </c>
      <c r="C80" s="162">
        <f>C72/G72</f>
        <v/>
      </c>
      <c r="D80" s="162">
        <f>D72/G72</f>
        <v/>
      </c>
      <c r="E80" s="162">
        <f>E72/G72</f>
        <v/>
      </c>
      <c r="F80" s="162">
        <f>F72/G72</f>
        <v/>
      </c>
    </row>
    <row r="82">
      <c r="B82" s="127" t="inlineStr">
        <is>
          <t>💧 마나 소모량 (1분 기준) — 2번 스킬셋</t>
        </is>
      </c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5" t="n"/>
    </row>
    <row r="83">
      <c r="B83" s="122" t="inlineStr">
        <is>
          <t>레벨</t>
        </is>
      </c>
      <c r="C83" s="122" t="inlineStr">
        <is>
          <t>Q</t>
        </is>
      </c>
      <c r="D83" s="122" t="inlineStr">
        <is>
          <t>W</t>
        </is>
      </c>
      <c r="E83" s="122" t="inlineStr">
        <is>
          <t>E</t>
        </is>
      </c>
      <c r="F83" s="122" t="inlineStr">
        <is>
          <t>R</t>
        </is>
      </c>
      <c r="G83" s="122" t="inlineStr">
        <is>
          <t>합계</t>
        </is>
      </c>
      <c r="H83" s="122" t="inlineStr">
        <is>
          <t>증가율</t>
        </is>
      </c>
    </row>
    <row r="84">
      <c r="B84" s="67" t="n">
        <v>1</v>
      </c>
      <c r="C84" s="69">
        <f>L45</f>
        <v/>
      </c>
      <c r="D84" s="69">
        <f>L50</f>
        <v/>
      </c>
      <c r="E84" s="69">
        <f>L55</f>
        <v/>
      </c>
      <c r="F84" s="69">
        <f>L60</f>
        <v/>
      </c>
      <c r="G84" s="69">
        <f>SUM(C84:F84)</f>
        <v/>
      </c>
      <c r="H84" s="67" t="inlineStr">
        <is>
          <t>-</t>
        </is>
      </c>
    </row>
    <row r="85">
      <c r="B85" s="67" t="n">
        <v>2</v>
      </c>
      <c r="C85" s="69">
        <f>L46</f>
        <v/>
      </c>
      <c r="D85" s="69">
        <f>L51</f>
        <v/>
      </c>
      <c r="E85" s="69">
        <f>L56</f>
        <v/>
      </c>
      <c r="F85" s="69">
        <f>L61</f>
        <v/>
      </c>
      <c r="G85" s="69">
        <f>SUM(C85:F85)</f>
        <v/>
      </c>
      <c r="H85" s="162">
        <f>G85/G84</f>
        <v/>
      </c>
    </row>
    <row r="86">
      <c r="B86" s="67" t="n">
        <v>3</v>
      </c>
      <c r="C86" s="69">
        <f>L47</f>
        <v/>
      </c>
      <c r="D86" s="69">
        <f>L52</f>
        <v/>
      </c>
      <c r="E86" s="69">
        <f>L57</f>
        <v/>
      </c>
      <c r="F86" s="69">
        <f>L62</f>
        <v/>
      </c>
      <c r="G86" s="69">
        <f>SUM(C86:F86)</f>
        <v/>
      </c>
      <c r="H86" s="162">
        <f>G86/G85</f>
        <v/>
      </c>
    </row>
    <row r="87">
      <c r="B87" s="67" t="n">
        <v>4</v>
      </c>
      <c r="C87" s="69">
        <f>L48</f>
        <v/>
      </c>
      <c r="D87" s="69">
        <f>L53</f>
        <v/>
      </c>
      <c r="E87" s="69">
        <f>L58</f>
        <v/>
      </c>
      <c r="F87" s="69">
        <f>L63</f>
        <v/>
      </c>
      <c r="G87" s="69">
        <f>SUM(C87:F87)</f>
        <v/>
      </c>
      <c r="H87" s="162">
        <f>G87/G86</f>
        <v/>
      </c>
    </row>
    <row r="88">
      <c r="B88" s="67" t="n">
        <v>5</v>
      </c>
      <c r="C88" s="69">
        <f>L49</f>
        <v/>
      </c>
      <c r="D88" s="69">
        <f>L54</f>
        <v/>
      </c>
      <c r="E88" s="69">
        <f>L59</f>
        <v/>
      </c>
      <c r="F88" s="69">
        <f>L64</f>
        <v/>
      </c>
      <c r="G88" s="69">
        <f>SUM(C88:F88)</f>
        <v/>
      </c>
      <c r="H88" s="162">
        <f>G88/G87</f>
        <v/>
      </c>
    </row>
    <row r="90">
      <c r="B90" s="127" t="inlineStr">
        <is>
          <t>📈 스킬 분석 차트 — 2번 스킬셋</t>
        </is>
      </c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5" t="n"/>
    </row>
    <row r="114">
      <c r="B11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5" t="n"/>
    </row>
    <row r="116" ht="21.95" customHeight="1" s="133">
      <c r="B116" s="125" t="inlineStr">
        <is>
          <t>▶ 3번 스킬셋  |  ✅ 전 레벨 데이터 확보 (시뮬레이터 구현)</t>
        </is>
      </c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5" t="n"/>
    </row>
    <row r="117">
      <c r="B117" s="122" t="inlineStr">
        <is>
          <t>커맨드</t>
        </is>
      </c>
      <c r="C117" s="122" t="inlineStr">
        <is>
          <t>스킬명</t>
        </is>
      </c>
      <c r="D117" s="122" t="inlineStr">
        <is>
          <t>유형</t>
        </is>
      </c>
      <c r="E117" s="122" t="inlineStr">
        <is>
          <t>설명</t>
        </is>
      </c>
      <c r="F117" s="114" t="n"/>
      <c r="G117" s="114" t="n"/>
      <c r="H117" s="114" t="n"/>
      <c r="I117" s="114" t="n"/>
      <c r="J117" s="114" t="n"/>
      <c r="K117" s="114" t="n"/>
      <c r="L117" s="114" t="n"/>
      <c r="M117" s="115" t="n"/>
    </row>
    <row r="118" ht="18" customHeight="1" s="133">
      <c r="B118" s="21" t="inlineStr">
        <is>
          <t>Q</t>
        </is>
      </c>
      <c r="C118" s="22" t="inlineStr">
        <is>
          <t>얼음 화살</t>
        </is>
      </c>
      <c r="D118" s="22" t="inlineStr">
        <is>
          <t>방향 투사체</t>
        </is>
      </c>
      <c r="E118" s="124" t="inlineStr">
        <is>
          <t>차가운 얼음 화살을 발사하여 피해를 입힙니다.</t>
        </is>
      </c>
      <c r="F118" s="114" t="n"/>
      <c r="G118" s="114" t="n"/>
      <c r="H118" s="114" t="n"/>
      <c r="I118" s="114" t="n"/>
      <c r="J118" s="114" t="n"/>
      <c r="K118" s="114" t="n"/>
      <c r="L118" s="114" t="n"/>
      <c r="M118" s="115" t="n"/>
    </row>
    <row r="119" ht="18" customHeight="1" s="133">
      <c r="B119" s="23" t="inlineStr">
        <is>
          <t>W</t>
        </is>
      </c>
      <c r="C119" s="24" t="inlineStr">
        <is>
          <t>다후타의 손짓</t>
        </is>
      </c>
      <c r="D119" s="24" t="inlineStr">
        <is>
          <t>DoT 장판 (5틱 합산)</t>
        </is>
      </c>
      <c r="E119" s="126" t="inlineStr">
        <is>
          <t>얼음 폭풍 장판. life_time=4.9s, Interval=1s, 5틱×80%=400% (Lv1)</t>
        </is>
      </c>
      <c r="F119" s="114" t="n"/>
      <c r="G119" s="114" t="n"/>
      <c r="H119" s="114" t="n"/>
      <c r="I119" s="114" t="n"/>
      <c r="J119" s="114" t="n"/>
      <c r="K119" s="114" t="n"/>
      <c r="L119" s="114" t="n"/>
      <c r="M119" s="115" t="n"/>
    </row>
    <row r="120" ht="18" customHeight="1" s="133">
      <c r="B120" s="25" t="inlineStr">
        <is>
          <t>E</t>
        </is>
      </c>
      <c r="C120" s="26" t="inlineStr">
        <is>
          <t>심판의 낙뢰</t>
        </is>
      </c>
      <c r="D120" s="26" t="inlineStr">
        <is>
          <t>위치 지정 (2-hit)</t>
        </is>
      </c>
      <c r="E120" s="120" t="inlineStr">
        <is>
          <t>강력한 낙뢰 2회 피해. (400%+200%=600% Lv1)</t>
        </is>
      </c>
      <c r="F120" s="114" t="n"/>
      <c r="G120" s="114" t="n"/>
      <c r="H120" s="114" t="n"/>
      <c r="I120" s="114" t="n"/>
      <c r="J120" s="114" t="n"/>
      <c r="K120" s="114" t="n"/>
      <c r="L120" s="114" t="n"/>
      <c r="M120" s="115" t="n"/>
    </row>
    <row r="121" ht="18" customHeight="1" s="133">
      <c r="B121" s="27" t="inlineStr">
        <is>
          <t>R</t>
        </is>
      </c>
      <c r="C121" s="28" t="inlineStr">
        <is>
          <t>방울방울</t>
        </is>
      </c>
      <c r="D121" s="28" t="inlineStr">
        <is>
          <t>CC + 피해 (부유)</t>
        </is>
      </c>
      <c r="E121" s="121" t="inlineStr">
        <is>
          <t>부유 CC로 적을 띄우고 피해를 입힙니다. (300%~420% / 부유 8~10s)</t>
        </is>
      </c>
      <c r="F121" s="114" t="n"/>
      <c r="G121" s="114" t="n"/>
      <c r="H121" s="114" t="n"/>
      <c r="I121" s="114" t="n"/>
      <c r="J121" s="114" t="n"/>
      <c r="K121" s="114" t="n"/>
      <c r="L121" s="114" t="n"/>
      <c r="M121" s="115" t="n"/>
    </row>
    <row r="123">
      <c r="B123" s="118" t="inlineStr">
        <is>
          <t>⚔️ 스킬 강화 정보 — 3번 스킬셋</t>
        </is>
      </c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5" t="n"/>
    </row>
    <row r="124" ht="30" customHeight="1" s="133">
      <c r="B124" s="130" t="inlineStr">
        <is>
          <t>커맨드</t>
        </is>
      </c>
      <c r="C124" s="130" t="inlineStr">
        <is>
          <t>레벨</t>
        </is>
      </c>
      <c r="D124" s="130" t="inlineStr">
        <is>
          <t>쿨타임(s)</t>
        </is>
      </c>
      <c r="E124" s="130" t="inlineStr">
        <is>
          <t>마나소모</t>
        </is>
      </c>
      <c r="F124" s="130" t="inlineStr">
        <is>
          <t>공격유형</t>
        </is>
      </c>
      <c r="G124" s="130" t="inlineStr">
        <is>
          <t>피해량(배율)</t>
        </is>
      </c>
      <c r="H124" s="130" t="inlineStr">
        <is>
          <t>버프/디버프</t>
        </is>
      </c>
      <c r="I124" s="130" t="inlineStr">
        <is>
          <t>DPS</t>
        </is>
      </c>
      <c r="J124" s="130" t="inlineStr">
        <is>
          <t>분당횟수</t>
        </is>
      </c>
      <c r="K124" s="130" t="inlineStr">
        <is>
          <t>1분누적피해</t>
        </is>
      </c>
      <c r="L124" s="130" t="inlineStr">
        <is>
          <t>1분마나소모</t>
        </is>
      </c>
    </row>
    <row r="125">
      <c r="B125" s="22" t="inlineStr">
        <is>
          <t>Q</t>
        </is>
      </c>
      <c r="C125" s="21" t="n">
        <v>1</v>
      </c>
      <c r="D125" s="21" t="n">
        <v>5</v>
      </c>
      <c r="E125" s="21" t="n">
        <v>18</v>
      </c>
      <c r="F125" s="21" t="inlineStr">
        <is>
          <t>방향 투사체</t>
        </is>
      </c>
      <c r="G125" s="21" t="n">
        <v>2</v>
      </c>
      <c r="H125" s="21" t="n"/>
      <c r="I125" s="30">
        <f>G125/(D125+1)</f>
        <v/>
      </c>
      <c r="J125" s="153">
        <f>60/(D125+1)</f>
        <v/>
      </c>
      <c r="K125" s="30">
        <f>J125*G125</f>
        <v/>
      </c>
      <c r="L125" s="32">
        <f>J125*E125</f>
        <v/>
      </c>
    </row>
    <row r="126">
      <c r="B126" s="22" t="n"/>
      <c r="C126" s="21" t="n">
        <v>2</v>
      </c>
      <c r="D126" s="21" t="n">
        <v>4.5</v>
      </c>
      <c r="E126" s="21" t="n">
        <v>19</v>
      </c>
      <c r="F126" s="21" t="inlineStr">
        <is>
          <t>방향 투사체</t>
        </is>
      </c>
      <c r="G126" s="21" t="n">
        <v>2.2</v>
      </c>
      <c r="H126" s="21" t="n"/>
      <c r="I126" s="30">
        <f>G126/(D126+1)</f>
        <v/>
      </c>
      <c r="J126" s="153">
        <f>60/(D126+1)</f>
        <v/>
      </c>
      <c r="K126" s="30">
        <f>J126*G126</f>
        <v/>
      </c>
      <c r="L126" s="32">
        <f>J126*E126</f>
        <v/>
      </c>
    </row>
    <row r="127">
      <c r="B127" s="22" t="n"/>
      <c r="C127" s="21" t="n">
        <v>3</v>
      </c>
      <c r="D127" s="21" t="n">
        <v>4</v>
      </c>
      <c r="E127" s="21" t="n">
        <v>20</v>
      </c>
      <c r="F127" s="21" t="inlineStr">
        <is>
          <t>방향 투사체</t>
        </is>
      </c>
      <c r="G127" s="21" t="n">
        <v>2.4</v>
      </c>
      <c r="H127" s="21" t="n"/>
      <c r="I127" s="30">
        <f>G127/(D127+1)</f>
        <v/>
      </c>
      <c r="J127" s="153">
        <f>60/(D127+1)</f>
        <v/>
      </c>
      <c r="K127" s="30">
        <f>J127*G127</f>
        <v/>
      </c>
      <c r="L127" s="32">
        <f>J127*E127</f>
        <v/>
      </c>
    </row>
    <row r="128">
      <c r="B128" s="22" t="n"/>
      <c r="C128" s="21" t="n">
        <v>4</v>
      </c>
      <c r="D128" s="21" t="n">
        <v>3.5</v>
      </c>
      <c r="E128" s="21" t="n">
        <v>21</v>
      </c>
      <c r="F128" s="21" t="inlineStr">
        <is>
          <t>방향 투사체</t>
        </is>
      </c>
      <c r="G128" s="21" t="n">
        <v>2.6</v>
      </c>
      <c r="H128" s="21" t="n"/>
      <c r="I128" s="30">
        <f>G128/(D128+1)</f>
        <v/>
      </c>
      <c r="J128" s="153">
        <f>60/(D128+1)</f>
        <v/>
      </c>
      <c r="K128" s="30">
        <f>J128*G128</f>
        <v/>
      </c>
      <c r="L128" s="32">
        <f>J128*E128</f>
        <v/>
      </c>
    </row>
    <row r="129">
      <c r="B129" s="22" t="n"/>
      <c r="C129" s="21" t="n">
        <v>5</v>
      </c>
      <c r="D129" s="21" t="n">
        <v>3</v>
      </c>
      <c r="E129" s="21" t="n">
        <v>22</v>
      </c>
      <c r="F129" s="21" t="inlineStr">
        <is>
          <t>방향 투사체</t>
        </is>
      </c>
      <c r="G129" s="21" t="n">
        <v>2.8</v>
      </c>
      <c r="H129" s="21" t="n"/>
      <c r="I129" s="30">
        <f>G129/(D129+1)</f>
        <v/>
      </c>
      <c r="J129" s="153">
        <f>60/(D129+1)</f>
        <v/>
      </c>
      <c r="K129" s="30">
        <f>J129*G129</f>
        <v/>
      </c>
      <c r="L129" s="32">
        <f>J129*E129</f>
        <v/>
      </c>
    </row>
    <row r="130">
      <c r="B130" s="24" t="inlineStr">
        <is>
          <t>W</t>
        </is>
      </c>
      <c r="C130" s="23" t="n">
        <v>1</v>
      </c>
      <c r="D130" s="23" t="n">
        <v>15</v>
      </c>
      <c r="E130" s="23" t="n">
        <v>25</v>
      </c>
      <c r="F130" s="23" t="inlineStr">
        <is>
          <t>DoT 장판 (5틱 합산)</t>
        </is>
      </c>
      <c r="G130" s="23" t="n">
        <v>4</v>
      </c>
      <c r="H130" s="23" t="n"/>
      <c r="I130" s="64">
        <f>G130/(D130+1)</f>
        <v/>
      </c>
      <c r="J130" s="159">
        <f>60/(D130+1)</f>
        <v/>
      </c>
      <c r="K130" s="64">
        <f>J130*G130</f>
        <v/>
      </c>
      <c r="L130" s="62">
        <f>J130*E130</f>
        <v/>
      </c>
    </row>
    <row r="131">
      <c r="B131" s="24" t="n"/>
      <c r="C131" s="23" t="n">
        <v>2</v>
      </c>
      <c r="D131" s="23" t="n">
        <v>14</v>
      </c>
      <c r="E131" s="23" t="n">
        <v>27</v>
      </c>
      <c r="F131" s="23" t="inlineStr">
        <is>
          <t>DoT 장판 (5틱 합산)</t>
        </is>
      </c>
      <c r="G131" s="23" t="n">
        <v>4.4</v>
      </c>
      <c r="H131" s="23" t="n"/>
      <c r="I131" s="64">
        <f>G131/(D131+1)</f>
        <v/>
      </c>
      <c r="J131" s="159">
        <f>60/(D131+1)</f>
        <v/>
      </c>
      <c r="K131" s="64">
        <f>J131*G131</f>
        <v/>
      </c>
      <c r="L131" s="62">
        <f>J131*E131</f>
        <v/>
      </c>
    </row>
    <row r="132">
      <c r="B132" s="24" t="n"/>
      <c r="C132" s="23" t="n">
        <v>3</v>
      </c>
      <c r="D132" s="23" t="n">
        <v>13</v>
      </c>
      <c r="E132" s="23" t="n">
        <v>29</v>
      </c>
      <c r="F132" s="23" t="inlineStr">
        <is>
          <t>DoT 장판 (5틱 합산)</t>
        </is>
      </c>
      <c r="G132" s="23" t="n">
        <v>4.8</v>
      </c>
      <c r="H132" s="23" t="n"/>
      <c r="I132" s="64">
        <f>G132/(D132+1)</f>
        <v/>
      </c>
      <c r="J132" s="159">
        <f>60/(D132+1)</f>
        <v/>
      </c>
      <c r="K132" s="64">
        <f>J132*G132</f>
        <v/>
      </c>
      <c r="L132" s="62">
        <f>J132*E132</f>
        <v/>
      </c>
    </row>
    <row r="133">
      <c r="B133" s="24" t="n"/>
      <c r="C133" s="23" t="n">
        <v>4</v>
      </c>
      <c r="D133" s="23" t="n">
        <v>12</v>
      </c>
      <c r="E133" s="23" t="n">
        <v>31</v>
      </c>
      <c r="F133" s="23" t="inlineStr">
        <is>
          <t>DoT 장판 (5틱 합산)</t>
        </is>
      </c>
      <c r="G133" s="23" t="n">
        <v>5.2</v>
      </c>
      <c r="H133" s="23" t="n"/>
      <c r="I133" s="64">
        <f>G133/(D133+1)</f>
        <v/>
      </c>
      <c r="J133" s="159">
        <f>60/(D133+1)</f>
        <v/>
      </c>
      <c r="K133" s="64">
        <f>J133*G133</f>
        <v/>
      </c>
      <c r="L133" s="62">
        <f>J133*E133</f>
        <v/>
      </c>
    </row>
    <row r="134">
      <c r="B134" s="24" t="n"/>
      <c r="C134" s="23" t="n">
        <v>5</v>
      </c>
      <c r="D134" s="23" t="n">
        <v>11</v>
      </c>
      <c r="E134" s="23" t="n">
        <v>33</v>
      </c>
      <c r="F134" s="23" t="inlineStr">
        <is>
          <t>DoT 장판 (5틱 합산)</t>
        </is>
      </c>
      <c r="G134" s="23" t="n">
        <v>5.6</v>
      </c>
      <c r="H134" s="23" t="n"/>
      <c r="I134" s="64">
        <f>G134/(D134+1)</f>
        <v/>
      </c>
      <c r="J134" s="159">
        <f>60/(D134+1)</f>
        <v/>
      </c>
      <c r="K134" s="64">
        <f>J134*G134</f>
        <v/>
      </c>
      <c r="L134" s="62">
        <f>J134*E134</f>
        <v/>
      </c>
    </row>
    <row r="135">
      <c r="B135" s="26" t="inlineStr">
        <is>
          <t>E</t>
        </is>
      </c>
      <c r="C135" s="25" t="n">
        <v>1</v>
      </c>
      <c r="D135" s="25" t="n">
        <v>40</v>
      </c>
      <c r="E135" s="25" t="n">
        <v>32</v>
      </c>
      <c r="F135" s="25" t="inlineStr">
        <is>
          <t>위치 지정 (2-hit)</t>
        </is>
      </c>
      <c r="G135" s="25" t="n">
        <v>6</v>
      </c>
      <c r="H135" s="25" t="n"/>
      <c r="I135" s="41">
        <f>G135/(D135+1)</f>
        <v/>
      </c>
      <c r="J135" s="155">
        <f>60/(D135+1)</f>
        <v/>
      </c>
      <c r="K135" s="41">
        <f>J135*G135</f>
        <v/>
      </c>
      <c r="L135" s="43">
        <f>J135*E135</f>
        <v/>
      </c>
    </row>
    <row r="136">
      <c r="B136" s="26" t="n"/>
      <c r="C136" s="25" t="n">
        <v>2</v>
      </c>
      <c r="D136" s="25" t="n">
        <v>38</v>
      </c>
      <c r="E136" s="25" t="n">
        <v>35</v>
      </c>
      <c r="F136" s="25" t="inlineStr">
        <is>
          <t>위치 지정 (2-hit)</t>
        </is>
      </c>
      <c r="G136" s="25" t="n">
        <v>6.6</v>
      </c>
      <c r="H136" s="25" t="n"/>
      <c r="I136" s="41">
        <f>G136/(D136+1)</f>
        <v/>
      </c>
      <c r="J136" s="155">
        <f>60/(D136+1)</f>
        <v/>
      </c>
      <c r="K136" s="41">
        <f>J136*G136</f>
        <v/>
      </c>
      <c r="L136" s="43">
        <f>J136*E136</f>
        <v/>
      </c>
    </row>
    <row r="137">
      <c r="B137" s="26" t="n"/>
      <c r="C137" s="25" t="n">
        <v>3</v>
      </c>
      <c r="D137" s="25" t="n">
        <v>36</v>
      </c>
      <c r="E137" s="25" t="n">
        <v>38</v>
      </c>
      <c r="F137" s="25" t="inlineStr">
        <is>
          <t>위치 지정 (2-hit)</t>
        </is>
      </c>
      <c r="G137" s="25" t="n">
        <v>7.2</v>
      </c>
      <c r="H137" s="25" t="n"/>
      <c r="I137" s="41">
        <f>G137/(D137+1)</f>
        <v/>
      </c>
      <c r="J137" s="155">
        <f>60/(D137+1)</f>
        <v/>
      </c>
      <c r="K137" s="41">
        <f>J137*G137</f>
        <v/>
      </c>
      <c r="L137" s="43">
        <f>J137*E137</f>
        <v/>
      </c>
    </row>
    <row r="138">
      <c r="B138" s="26" t="n"/>
      <c r="C138" s="25" t="n">
        <v>4</v>
      </c>
      <c r="D138" s="25" t="n">
        <v>34</v>
      </c>
      <c r="E138" s="25" t="n">
        <v>41</v>
      </c>
      <c r="F138" s="25" t="inlineStr">
        <is>
          <t>위치 지정 (2-hit)</t>
        </is>
      </c>
      <c r="G138" s="25" t="n">
        <v>7.8</v>
      </c>
      <c r="H138" s="25" t="n"/>
      <c r="I138" s="41">
        <f>G138/(D138+1)</f>
        <v/>
      </c>
      <c r="J138" s="155">
        <f>60/(D138+1)</f>
        <v/>
      </c>
      <c r="K138" s="41">
        <f>J138*G138</f>
        <v/>
      </c>
      <c r="L138" s="43">
        <f>J138*E138</f>
        <v/>
      </c>
    </row>
    <row r="139">
      <c r="B139" s="26" t="n"/>
      <c r="C139" s="25" t="n">
        <v>5</v>
      </c>
      <c r="D139" s="25" t="n">
        <v>32</v>
      </c>
      <c r="E139" s="25" t="n">
        <v>44</v>
      </c>
      <c r="F139" s="25" t="inlineStr">
        <is>
          <t>위치 지정 (2-hit)</t>
        </is>
      </c>
      <c r="G139" s="25" t="n">
        <v>8.4</v>
      </c>
      <c r="H139" s="25" t="n"/>
      <c r="I139" s="41">
        <f>G139/(D139+1)</f>
        <v/>
      </c>
      <c r="J139" s="155">
        <f>60/(D139+1)</f>
        <v/>
      </c>
      <c r="K139" s="41">
        <f>J139*G139</f>
        <v/>
      </c>
      <c r="L139" s="43">
        <f>J139*E139</f>
        <v/>
      </c>
    </row>
    <row r="140">
      <c r="B140" s="28" t="inlineStr">
        <is>
          <t>R</t>
        </is>
      </c>
      <c r="C140" s="27" t="n">
        <v>1</v>
      </c>
      <c r="D140" s="27" t="n">
        <v>20</v>
      </c>
      <c r="E140" s="27" t="n">
        <v>45</v>
      </c>
      <c r="F140" s="27" t="inlineStr">
        <is>
          <t>CC + 피해 (부유)</t>
        </is>
      </c>
      <c r="G140" s="27" t="n">
        <v>3</v>
      </c>
      <c r="H140" s="27" t="inlineStr">
        <is>
          <t>부유 8.0s</t>
        </is>
      </c>
      <c r="I140" s="27">
        <f>G140/(D140+1)</f>
        <v/>
      </c>
      <c r="J140" s="157">
        <f>60/(D140+1)</f>
        <v/>
      </c>
      <c r="K140" s="27">
        <f>J140*G140</f>
        <v/>
      </c>
      <c r="L140" s="51">
        <f>J140*E140</f>
        <v/>
      </c>
    </row>
    <row r="141">
      <c r="B141" s="28" t="n"/>
      <c r="C141" s="27" t="n">
        <v>2</v>
      </c>
      <c r="D141" s="27" t="n">
        <v>19</v>
      </c>
      <c r="E141" s="27" t="n">
        <v>49</v>
      </c>
      <c r="F141" s="27" t="inlineStr">
        <is>
          <t>CC + 피해 (부유)</t>
        </is>
      </c>
      <c r="G141" s="27" t="n">
        <v>3.3</v>
      </c>
      <c r="H141" s="27" t="inlineStr">
        <is>
          <t>부유 8.5s</t>
        </is>
      </c>
      <c r="I141" s="27">
        <f>G141/(D141+1)</f>
        <v/>
      </c>
      <c r="J141" s="157">
        <f>60/(D141+1)</f>
        <v/>
      </c>
      <c r="K141" s="27">
        <f>J141*G141</f>
        <v/>
      </c>
      <c r="L141" s="51">
        <f>J141*E141</f>
        <v/>
      </c>
    </row>
    <row r="142">
      <c r="B142" s="28" t="n"/>
      <c r="C142" s="27" t="n">
        <v>3</v>
      </c>
      <c r="D142" s="27" t="n">
        <v>18</v>
      </c>
      <c r="E142" s="27" t="n">
        <v>53</v>
      </c>
      <c r="F142" s="27" t="inlineStr">
        <is>
          <t>CC + 피해 (부유)</t>
        </is>
      </c>
      <c r="G142" s="27" t="n">
        <v>3.6</v>
      </c>
      <c r="H142" s="27" t="inlineStr">
        <is>
          <t>부유 9.0s</t>
        </is>
      </c>
      <c r="I142" s="27">
        <f>G142/(D142+1)</f>
        <v/>
      </c>
      <c r="J142" s="157">
        <f>60/(D142+1)</f>
        <v/>
      </c>
      <c r="K142" s="27">
        <f>J142*G142</f>
        <v/>
      </c>
      <c r="L142" s="51">
        <f>J142*E142</f>
        <v/>
      </c>
    </row>
    <row r="143">
      <c r="B143" s="28" t="n"/>
      <c r="C143" s="27" t="n">
        <v>4</v>
      </c>
      <c r="D143" s="27" t="n">
        <v>17</v>
      </c>
      <c r="E143" s="27" t="n">
        <v>56</v>
      </c>
      <c r="F143" s="27" t="inlineStr">
        <is>
          <t>CC + 피해 (부유)</t>
        </is>
      </c>
      <c r="G143" s="27" t="n">
        <v>3.9</v>
      </c>
      <c r="H143" s="27" t="inlineStr">
        <is>
          <t>부유 9.5s</t>
        </is>
      </c>
      <c r="I143" s="27">
        <f>G143/(D143+1)</f>
        <v/>
      </c>
      <c r="J143" s="157">
        <f>60/(D143+1)</f>
        <v/>
      </c>
      <c r="K143" s="27">
        <f>J143*G143</f>
        <v/>
      </c>
      <c r="L143" s="51">
        <f>J143*E143</f>
        <v/>
      </c>
    </row>
    <row r="144">
      <c r="B144" s="28" t="n"/>
      <c r="C144" s="27" t="n">
        <v>5</v>
      </c>
      <c r="D144" s="27" t="n">
        <v>16</v>
      </c>
      <c r="E144" s="27" t="n">
        <v>60</v>
      </c>
      <c r="F144" s="27" t="inlineStr">
        <is>
          <t>CC + 피해 (부유)</t>
        </is>
      </c>
      <c r="G144" s="27" t="n">
        <v>4.2</v>
      </c>
      <c r="H144" s="27" t="inlineStr">
        <is>
          <t>부유 10.0s</t>
        </is>
      </c>
      <c r="I144" s="27">
        <f>G144/(D144+1)</f>
        <v/>
      </c>
      <c r="J144" s="157">
        <f>60/(D144+1)</f>
        <v/>
      </c>
      <c r="K144" s="27">
        <f>J144*G144</f>
        <v/>
      </c>
      <c r="L144" s="51">
        <f>J144*E144</f>
        <v/>
      </c>
    </row>
    <row r="146">
      <c r="B146" s="127" t="inlineStr">
        <is>
          <t>📊 지속 딜링 능력 (1분 기준) — 3번 스킬셋</t>
        </is>
      </c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5" t="n"/>
    </row>
    <row r="147">
      <c r="B147" s="122" t="inlineStr">
        <is>
          <t>레벨</t>
        </is>
      </c>
      <c r="C147" s="122" t="inlineStr">
        <is>
          <t>Q</t>
        </is>
      </c>
      <c r="D147" s="122" t="inlineStr">
        <is>
          <t>W</t>
        </is>
      </c>
      <c r="E147" s="122" t="inlineStr">
        <is>
          <t>E</t>
        </is>
      </c>
      <c r="F147" s="122" t="inlineStr">
        <is>
          <t>R</t>
        </is>
      </c>
      <c r="G147" s="122" t="inlineStr">
        <is>
          <t>1분 합계</t>
        </is>
      </c>
      <c r="H147" s="122" t="inlineStr">
        <is>
          <t>지속DPS</t>
        </is>
      </c>
      <c r="I147" s="122" t="inlineStr">
        <is>
          <t>레벨업 증가율</t>
        </is>
      </c>
    </row>
    <row r="148">
      <c r="B148" s="40" t="n">
        <v>1</v>
      </c>
      <c r="C148" s="65">
        <f>K125</f>
        <v/>
      </c>
      <c r="D148" s="65">
        <f>K130</f>
        <v/>
      </c>
      <c r="E148" s="65">
        <f>K135</f>
        <v/>
      </c>
      <c r="F148" s="65">
        <f>K140</f>
        <v/>
      </c>
      <c r="G148" s="65">
        <f>SUM(C148:F148)</f>
        <v/>
      </c>
      <c r="H148" s="65">
        <f>G148/60</f>
        <v/>
      </c>
      <c r="I148" s="40" t="inlineStr">
        <is>
          <t>-</t>
        </is>
      </c>
    </row>
    <row r="149">
      <c r="B149" s="40" t="n">
        <v>2</v>
      </c>
      <c r="C149" s="65">
        <f>K126</f>
        <v/>
      </c>
      <c r="D149" s="65">
        <f>K131</f>
        <v/>
      </c>
      <c r="E149" s="65">
        <f>K136</f>
        <v/>
      </c>
      <c r="F149" s="65">
        <f>K141</f>
        <v/>
      </c>
      <c r="G149" s="65">
        <f>SUM(C149:F149)</f>
        <v/>
      </c>
      <c r="H149" s="65">
        <f>G149/60</f>
        <v/>
      </c>
      <c r="I149" s="161">
        <f>H149/H148</f>
        <v/>
      </c>
    </row>
    <row r="150">
      <c r="B150" s="40" t="n">
        <v>3</v>
      </c>
      <c r="C150" s="65">
        <f>K127</f>
        <v/>
      </c>
      <c r="D150" s="65">
        <f>K132</f>
        <v/>
      </c>
      <c r="E150" s="65">
        <f>K137</f>
        <v/>
      </c>
      <c r="F150" s="65">
        <f>K142</f>
        <v/>
      </c>
      <c r="G150" s="65">
        <f>SUM(C150:F150)</f>
        <v/>
      </c>
      <c r="H150" s="65">
        <f>G150/60</f>
        <v/>
      </c>
      <c r="I150" s="161">
        <f>H150/H149</f>
        <v/>
      </c>
    </row>
    <row r="151">
      <c r="B151" s="40" t="n">
        <v>4</v>
      </c>
      <c r="C151" s="65">
        <f>K128</f>
        <v/>
      </c>
      <c r="D151" s="65">
        <f>K133</f>
        <v/>
      </c>
      <c r="E151" s="65">
        <f>K138</f>
        <v/>
      </c>
      <c r="F151" s="65">
        <f>K143</f>
        <v/>
      </c>
      <c r="G151" s="65">
        <f>SUM(C151:F151)</f>
        <v/>
      </c>
      <c r="H151" s="65">
        <f>G151/60</f>
        <v/>
      </c>
      <c r="I151" s="161">
        <f>H151/H150</f>
        <v/>
      </c>
    </row>
    <row r="152">
      <c r="B152" s="40" t="n">
        <v>5</v>
      </c>
      <c r="C152" s="65">
        <f>K129</f>
        <v/>
      </c>
      <c r="D152" s="65">
        <f>K134</f>
        <v/>
      </c>
      <c r="E152" s="65">
        <f>K139</f>
        <v/>
      </c>
      <c r="F152" s="65">
        <f>K144</f>
        <v/>
      </c>
      <c r="G152" s="65">
        <f>SUM(C152:F152)</f>
        <v/>
      </c>
      <c r="H152" s="65">
        <f>G152/60</f>
        <v/>
      </c>
      <c r="I152" s="161">
        <f>H152/H151</f>
        <v/>
      </c>
    </row>
    <row r="154">
      <c r="B154" s="127" t="inlineStr">
        <is>
          <t>📊 딜 비중표 (%) — 3번 스킬셋</t>
        </is>
      </c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5" t="n"/>
    </row>
    <row r="155">
      <c r="B155" s="122" t="inlineStr">
        <is>
          <t>레벨</t>
        </is>
      </c>
      <c r="C155" s="122" t="inlineStr">
        <is>
          <t>Q</t>
        </is>
      </c>
      <c r="D155" s="122" t="inlineStr">
        <is>
          <t>W</t>
        </is>
      </c>
      <c r="E155" s="122" t="inlineStr">
        <is>
          <t>E</t>
        </is>
      </c>
      <c r="F155" s="122" t="inlineStr">
        <is>
          <t>R</t>
        </is>
      </c>
    </row>
    <row r="156">
      <c r="B156" s="67" t="n">
        <v>1</v>
      </c>
      <c r="C156" s="162">
        <f>C148/G148</f>
        <v/>
      </c>
      <c r="D156" s="162">
        <f>D148/G148</f>
        <v/>
      </c>
      <c r="E156" s="162">
        <f>E148/G148</f>
        <v/>
      </c>
      <c r="F156" s="162">
        <f>F148/G148</f>
        <v/>
      </c>
    </row>
    <row r="157">
      <c r="B157" s="67" t="n">
        <v>2</v>
      </c>
      <c r="C157" s="162">
        <f>C149/G149</f>
        <v/>
      </c>
      <c r="D157" s="162">
        <f>D149/G149</f>
        <v/>
      </c>
      <c r="E157" s="162">
        <f>E149/G149</f>
        <v/>
      </c>
      <c r="F157" s="162">
        <f>F149/G149</f>
        <v/>
      </c>
    </row>
    <row r="158">
      <c r="B158" s="67" t="n">
        <v>3</v>
      </c>
      <c r="C158" s="162">
        <f>C150/G150</f>
        <v/>
      </c>
      <c r="D158" s="162">
        <f>D150/G150</f>
        <v/>
      </c>
      <c r="E158" s="162">
        <f>E150/G150</f>
        <v/>
      </c>
      <c r="F158" s="162">
        <f>F150/G150</f>
        <v/>
      </c>
    </row>
    <row r="159">
      <c r="B159" s="67" t="n">
        <v>4</v>
      </c>
      <c r="C159" s="162">
        <f>C151/G151</f>
        <v/>
      </c>
      <c r="D159" s="162">
        <f>D151/G151</f>
        <v/>
      </c>
      <c r="E159" s="162">
        <f>E151/G151</f>
        <v/>
      </c>
      <c r="F159" s="162">
        <f>F151/G151</f>
        <v/>
      </c>
    </row>
    <row r="160">
      <c r="B160" s="67" t="n">
        <v>5</v>
      </c>
      <c r="C160" s="162">
        <f>C152/G152</f>
        <v/>
      </c>
      <c r="D160" s="162">
        <f>D152/G152</f>
        <v/>
      </c>
      <c r="E160" s="162">
        <f>E152/G152</f>
        <v/>
      </c>
      <c r="F160" s="162">
        <f>F152/G152</f>
        <v/>
      </c>
    </row>
    <row r="162">
      <c r="B162" s="127" t="inlineStr">
        <is>
          <t>💧 마나 소모량 (1분 기준) — 3번 스킬셋</t>
        </is>
      </c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5" t="n"/>
    </row>
    <row r="163">
      <c r="B163" s="122" t="inlineStr">
        <is>
          <t>레벨</t>
        </is>
      </c>
      <c r="C163" s="122" t="inlineStr">
        <is>
          <t>Q</t>
        </is>
      </c>
      <c r="D163" s="122" t="inlineStr">
        <is>
          <t>W</t>
        </is>
      </c>
      <c r="E163" s="122" t="inlineStr">
        <is>
          <t>E</t>
        </is>
      </c>
      <c r="F163" s="122" t="inlineStr">
        <is>
          <t>R</t>
        </is>
      </c>
      <c r="G163" s="122" t="inlineStr">
        <is>
          <t>합계</t>
        </is>
      </c>
      <c r="H163" s="122" t="inlineStr">
        <is>
          <t>증가율</t>
        </is>
      </c>
    </row>
    <row r="164">
      <c r="B164" s="67" t="n">
        <v>1</v>
      </c>
      <c r="C164" s="69">
        <f>L125</f>
        <v/>
      </c>
      <c r="D164" s="69">
        <f>L130</f>
        <v/>
      </c>
      <c r="E164" s="69">
        <f>L135</f>
        <v/>
      </c>
      <c r="F164" s="69">
        <f>L140</f>
        <v/>
      </c>
      <c r="G164" s="69">
        <f>SUM(C164:F164)</f>
        <v/>
      </c>
      <c r="H164" s="67" t="inlineStr">
        <is>
          <t>-</t>
        </is>
      </c>
    </row>
    <row r="165">
      <c r="B165" s="67" t="n">
        <v>2</v>
      </c>
      <c r="C165" s="69">
        <f>L126</f>
        <v/>
      </c>
      <c r="D165" s="69">
        <f>L131</f>
        <v/>
      </c>
      <c r="E165" s="69">
        <f>L136</f>
        <v/>
      </c>
      <c r="F165" s="69">
        <f>L141</f>
        <v/>
      </c>
      <c r="G165" s="69">
        <f>SUM(C165:F165)</f>
        <v/>
      </c>
      <c r="H165" s="162">
        <f>G165/G164</f>
        <v/>
      </c>
    </row>
    <row r="166">
      <c r="B166" s="67" t="n">
        <v>3</v>
      </c>
      <c r="C166" s="69">
        <f>L127</f>
        <v/>
      </c>
      <c r="D166" s="69">
        <f>L132</f>
        <v/>
      </c>
      <c r="E166" s="69">
        <f>L137</f>
        <v/>
      </c>
      <c r="F166" s="69">
        <f>L142</f>
        <v/>
      </c>
      <c r="G166" s="69">
        <f>SUM(C166:F166)</f>
        <v/>
      </c>
      <c r="H166" s="162">
        <f>G166/G165</f>
        <v/>
      </c>
    </row>
    <row r="167">
      <c r="B167" s="67" t="n">
        <v>4</v>
      </c>
      <c r="C167" s="69">
        <f>L128</f>
        <v/>
      </c>
      <c r="D167" s="69">
        <f>L133</f>
        <v/>
      </c>
      <c r="E167" s="69">
        <f>L138</f>
        <v/>
      </c>
      <c r="F167" s="69">
        <f>L143</f>
        <v/>
      </c>
      <c r="G167" s="69">
        <f>SUM(C167:F167)</f>
        <v/>
      </c>
      <c r="H167" s="162">
        <f>G167/G166</f>
        <v/>
      </c>
    </row>
    <row r="168">
      <c r="B168" s="67" t="n">
        <v>5</v>
      </c>
      <c r="C168" s="69">
        <f>L129</f>
        <v/>
      </c>
      <c r="D168" s="69">
        <f>L134</f>
        <v/>
      </c>
      <c r="E168" s="69">
        <f>L139</f>
        <v/>
      </c>
      <c r="F168" s="69">
        <f>L144</f>
        <v/>
      </c>
      <c r="G168" s="69">
        <f>SUM(C168:F168)</f>
        <v/>
      </c>
      <c r="H168" s="162">
        <f>G168/G167</f>
        <v/>
      </c>
    </row>
    <row r="170">
      <c r="B170" s="127" t="inlineStr">
        <is>
          <t>📈 스킬 분석 차트 — 3번 스킬셋</t>
        </is>
      </c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5" t="n"/>
    </row>
    <row r="194">
      <c r="B19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5" t="n"/>
    </row>
  </sheetData>
  <mergeCells count="34">
    <mergeCell ref="B2:M2"/>
    <mergeCell ref="B11:M11"/>
    <mergeCell ref="B90:L90"/>
    <mergeCell ref="E40:M40"/>
    <mergeCell ref="E9:M9"/>
    <mergeCell ref="E118:M118"/>
    <mergeCell ref="B1:M1"/>
    <mergeCell ref="B66:L66"/>
    <mergeCell ref="E6:M6"/>
    <mergeCell ref="B34:M34"/>
    <mergeCell ref="B116:M116"/>
    <mergeCell ref="E119:M119"/>
    <mergeCell ref="E120:M120"/>
    <mergeCell ref="B170:L170"/>
    <mergeCell ref="E7:M7"/>
    <mergeCell ref="E41:M41"/>
    <mergeCell ref="B82:L82"/>
    <mergeCell ref="B162:L162"/>
    <mergeCell ref="B114:M114"/>
    <mergeCell ref="E37:M37"/>
    <mergeCell ref="B123:M123"/>
    <mergeCell ref="B36:M36"/>
    <mergeCell ref="B146:L146"/>
    <mergeCell ref="B4:M4"/>
    <mergeCell ref="E121:M121"/>
    <mergeCell ref="B194:M194"/>
    <mergeCell ref="B74:L74"/>
    <mergeCell ref="E117:M117"/>
    <mergeCell ref="E5:M5"/>
    <mergeCell ref="E39:M39"/>
    <mergeCell ref="E8:M8"/>
    <mergeCell ref="B43:M43"/>
    <mergeCell ref="B154:L154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60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6" customWidth="1" style="133" min="2" max="2"/>
    <col width="5" customWidth="1" style="133" min="3" max="3"/>
    <col width="9" customWidth="1" style="133" min="4" max="5"/>
    <col width="14" customWidth="1" style="133" min="6" max="6"/>
    <col width="12" customWidth="1" style="133" min="7" max="7"/>
    <col width="36" customWidth="1" style="133" min="8" max="8"/>
    <col width="9" customWidth="1" style="133" min="9" max="10"/>
    <col width="12" customWidth="1" style="133" min="11" max="12"/>
  </cols>
  <sheetData>
    <row r="1" ht="30" customHeight="1" s="133">
      <c r="B1" s="123" t="inlineStr">
        <is>
          <t>X7  단검  스킬 밸런스</t>
        </is>
      </c>
      <c r="C1" s="114" t="n"/>
      <c r="D1" s="114" t="n"/>
      <c r="E1" s="114" t="n"/>
      <c r="F1" s="114" t="n"/>
      <c r="G1" s="114" t="n"/>
      <c r="H1" s="114" t="n"/>
      <c r="I1" s="114" t="n"/>
      <c r="J1" s="114" t="n"/>
      <c r="K1" s="114" t="n"/>
      <c r="L1" s="114" t="n"/>
      <c r="M1" s="115" t="n"/>
    </row>
    <row r="2">
      <c r="B2" s="117" t="inlineStr">
        <is>
          <t>빠른 속도와 높은 치명타로 적을 순식간에 처치하는 민첩한 딜러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5" t="n"/>
    </row>
    <row r="4" ht="21.95" customHeight="1" s="133">
      <c r="B4" s="125" t="inlineStr">
        <is>
          <t>▶ 1번 스킬셋  |  Lv.1 데이터만 확보 (Lv.2~5 편집 필요)</t>
        </is>
      </c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5" t="n"/>
    </row>
    <row r="5">
      <c r="B5" s="122" t="inlineStr">
        <is>
          <t>커맨드</t>
        </is>
      </c>
      <c r="C5" s="122" t="inlineStr">
        <is>
          <t>스킬명</t>
        </is>
      </c>
      <c r="D5" s="122" t="inlineStr">
        <is>
          <t>유형</t>
        </is>
      </c>
      <c r="E5" s="122" t="inlineStr">
        <is>
          <t>설명</t>
        </is>
      </c>
      <c r="F5" s="114" t="n"/>
      <c r="G5" s="114" t="n"/>
      <c r="H5" s="114" t="n"/>
      <c r="I5" s="114" t="n"/>
      <c r="J5" s="114" t="n"/>
      <c r="K5" s="114" t="n"/>
      <c r="L5" s="114" t="n"/>
      <c r="M5" s="115" t="n"/>
    </row>
    <row r="6" ht="18" customHeight="1" s="133">
      <c r="B6" s="21" t="inlineStr">
        <is>
          <t>Q</t>
        </is>
      </c>
      <c r="C6" s="22" t="inlineStr">
        <is>
          <t>질풍 가르기</t>
        </is>
      </c>
      <c r="D6" s="22" t="inlineStr">
        <is>
          <t>방향 공격</t>
        </is>
      </c>
      <c r="E6" s="124" t="inlineStr">
        <is>
          <t>빠르게 베어 피해를 입힙니다.</t>
        </is>
      </c>
      <c r="F6" s="114" t="n"/>
      <c r="G6" s="114" t="n"/>
      <c r="H6" s="114" t="n"/>
      <c r="I6" s="114" t="n"/>
      <c r="J6" s="114" t="n"/>
      <c r="K6" s="114" t="n"/>
      <c r="L6" s="114" t="n"/>
      <c r="M6" s="115" t="n"/>
    </row>
    <row r="7" ht="18" customHeight="1" s="133">
      <c r="B7" s="23" t="inlineStr">
        <is>
          <t>W</t>
        </is>
      </c>
      <c r="C7" s="24" t="inlineStr">
        <is>
          <t>무기 연마</t>
        </is>
      </c>
      <c r="D7" s="24" t="inlineStr">
        <is>
          <t>버프</t>
        </is>
      </c>
      <c r="E7" s="126" t="inlineStr">
        <is>
          <t>무기를 연마하여 공격 속도를 높입니다.</t>
        </is>
      </c>
      <c r="F7" s="114" t="n"/>
      <c r="G7" s="114" t="n"/>
      <c r="H7" s="114" t="n"/>
      <c r="I7" s="114" t="n"/>
      <c r="J7" s="114" t="n"/>
      <c r="K7" s="114" t="n"/>
      <c r="L7" s="114" t="n"/>
      <c r="M7" s="115" t="n"/>
    </row>
    <row r="8" ht="18" customHeight="1" s="133">
      <c r="B8" s="25" t="inlineStr">
        <is>
          <t>E</t>
        </is>
      </c>
      <c r="C8" s="26" t="inlineStr">
        <is>
          <t>어둠의 일격</t>
        </is>
      </c>
      <c r="D8" s="26" t="inlineStr">
        <is>
          <t>단일 공격</t>
        </is>
      </c>
      <c r="E8" s="120" t="inlineStr">
        <is>
          <t>어둠의 힘으로 강력한 일격을 가합니다.</t>
        </is>
      </c>
      <c r="F8" s="114" t="n"/>
      <c r="G8" s="114" t="n"/>
      <c r="H8" s="114" t="n"/>
      <c r="I8" s="114" t="n"/>
      <c r="J8" s="114" t="n"/>
      <c r="K8" s="114" t="n"/>
      <c r="L8" s="114" t="n"/>
      <c r="M8" s="115" t="n"/>
    </row>
    <row r="9" ht="18" customHeight="1" s="133">
      <c r="B9" s="27" t="inlineStr">
        <is>
          <t>R</t>
        </is>
      </c>
      <c r="C9" s="28" t="inlineStr">
        <is>
          <t>암살자의 분노</t>
        </is>
      </c>
      <c r="D9" s="28" t="inlineStr">
        <is>
          <t>버프 (평타→광역)</t>
        </is>
      </c>
      <c r="E9" s="121" t="inlineStr">
        <is>
          <t>버프 활성 시 평타가 범위200 최대5타 광역(420%)으로 전환. CriVaryper/CriDmg/공속/이속 대폭 강화. 지속15s</t>
        </is>
      </c>
      <c r="F9" s="114" t="n"/>
      <c r="G9" s="114" t="n"/>
      <c r="H9" s="114" t="n"/>
      <c r="I9" s="114" t="n"/>
      <c r="J9" s="114" t="n"/>
      <c r="K9" s="114" t="n"/>
      <c r="L9" s="114" t="n"/>
      <c r="M9" s="115" t="n"/>
    </row>
    <row r="11">
      <c r="B11" s="118" t="inlineStr">
        <is>
          <t>⚔️ 스킬 강화 정보 — 1번 스킬셋</t>
        </is>
      </c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5" t="n"/>
    </row>
    <row r="12" ht="30" customHeight="1" s="133">
      <c r="B12" s="130" t="inlineStr">
        <is>
          <t>커맨드</t>
        </is>
      </c>
      <c r="C12" s="130" t="inlineStr">
        <is>
          <t>레벨</t>
        </is>
      </c>
      <c r="D12" s="130" t="inlineStr">
        <is>
          <t>쿨타임(s)</t>
        </is>
      </c>
      <c r="E12" s="130" t="inlineStr">
        <is>
          <t>마나소모</t>
        </is>
      </c>
      <c r="F12" s="130" t="inlineStr">
        <is>
          <t>공격유형</t>
        </is>
      </c>
      <c r="G12" s="130" t="inlineStr">
        <is>
          <t>피해량(배율)</t>
        </is>
      </c>
      <c r="H12" s="130" t="inlineStr">
        <is>
          <t>버프/디버프</t>
        </is>
      </c>
      <c r="I12" s="130" t="inlineStr">
        <is>
          <t>DPS</t>
        </is>
      </c>
      <c r="J12" s="130" t="inlineStr">
        <is>
          <t>분당횟수</t>
        </is>
      </c>
      <c r="K12" s="130" t="inlineStr">
        <is>
          <t>1분누적피해</t>
        </is>
      </c>
      <c r="L12" s="130" t="inlineStr">
        <is>
          <t>1분마나소모</t>
        </is>
      </c>
    </row>
    <row r="13">
      <c r="B13" s="22" t="inlineStr">
        <is>
          <t>Q</t>
        </is>
      </c>
      <c r="C13" s="21" t="n">
        <v>1</v>
      </c>
      <c r="D13" s="21" t="n">
        <v>5</v>
      </c>
      <c r="E13" s="21" t="n">
        <v>30</v>
      </c>
      <c r="F13" s="21" t="inlineStr">
        <is>
          <t>방향 공격</t>
        </is>
      </c>
      <c r="G13" s="21" t="n">
        <v>1.5</v>
      </c>
      <c r="H13" s="21" t="n"/>
      <c r="I13" s="30">
        <f>G13/(D13+1)</f>
        <v/>
      </c>
      <c r="J13" s="153">
        <f>60/(D13+1)</f>
        <v/>
      </c>
      <c r="K13" s="30">
        <f>J13*G13</f>
        <v/>
      </c>
      <c r="L13" s="32">
        <f>J13*E13</f>
        <v/>
      </c>
    </row>
    <row r="14">
      <c r="B14" s="33" t="n"/>
      <c r="C14" s="34" t="n">
        <v>2</v>
      </c>
      <c r="D14" s="34" t="n">
        <v>5</v>
      </c>
      <c r="E14" s="34" t="n">
        <v>30</v>
      </c>
      <c r="F14" s="34" t="inlineStr">
        <is>
          <t>방향 공격</t>
        </is>
      </c>
      <c r="G14" s="34" t="n">
        <v>1.5</v>
      </c>
      <c r="H14" s="34" t="n"/>
      <c r="I14" s="35">
        <f>G14/(D14+1)</f>
        <v/>
      </c>
      <c r="J14" s="154">
        <f>60/(D14+1)</f>
        <v/>
      </c>
      <c r="K14" s="35">
        <f>J14*G14</f>
        <v/>
      </c>
      <c r="L14" s="37">
        <f>J14*E14</f>
        <v/>
      </c>
    </row>
    <row r="15">
      <c r="B15" s="33" t="n"/>
      <c r="C15" s="34" t="n">
        <v>3</v>
      </c>
      <c r="D15" s="34" t="n">
        <v>5</v>
      </c>
      <c r="E15" s="34" t="n">
        <v>30</v>
      </c>
      <c r="F15" s="34" t="inlineStr">
        <is>
          <t>방향 공격</t>
        </is>
      </c>
      <c r="G15" s="34" t="n">
        <v>1.5</v>
      </c>
      <c r="H15" s="34" t="n"/>
      <c r="I15" s="35">
        <f>G15/(D15+1)</f>
        <v/>
      </c>
      <c r="J15" s="154">
        <f>60/(D15+1)</f>
        <v/>
      </c>
      <c r="K15" s="35">
        <f>J15*G15</f>
        <v/>
      </c>
      <c r="L15" s="37">
        <f>J15*E15</f>
        <v/>
      </c>
    </row>
    <row r="16">
      <c r="B16" s="33" t="n"/>
      <c r="C16" s="34" t="n">
        <v>4</v>
      </c>
      <c r="D16" s="34" t="n">
        <v>5</v>
      </c>
      <c r="E16" s="34" t="n">
        <v>30</v>
      </c>
      <c r="F16" s="34" t="inlineStr">
        <is>
          <t>방향 공격</t>
        </is>
      </c>
      <c r="G16" s="34" t="n">
        <v>1.5</v>
      </c>
      <c r="H16" s="34" t="n"/>
      <c r="I16" s="35">
        <f>G16/(D16+1)</f>
        <v/>
      </c>
      <c r="J16" s="154">
        <f>60/(D16+1)</f>
        <v/>
      </c>
      <c r="K16" s="35">
        <f>J16*G16</f>
        <v/>
      </c>
      <c r="L16" s="37">
        <f>J16*E16</f>
        <v/>
      </c>
    </row>
    <row r="17">
      <c r="B17" s="33" t="n"/>
      <c r="C17" s="34" t="n">
        <v>5</v>
      </c>
      <c r="D17" s="34" t="n">
        <v>5</v>
      </c>
      <c r="E17" s="34" t="n">
        <v>30</v>
      </c>
      <c r="F17" s="34" t="inlineStr">
        <is>
          <t>방향 공격</t>
        </is>
      </c>
      <c r="G17" s="34" t="n">
        <v>1.5</v>
      </c>
      <c r="H17" s="34" t="n"/>
      <c r="I17" s="35">
        <f>G17/(D17+1)</f>
        <v/>
      </c>
      <c r="J17" s="154">
        <f>60/(D17+1)</f>
        <v/>
      </c>
      <c r="K17" s="35">
        <f>J17*G17</f>
        <v/>
      </c>
      <c r="L17" s="37">
        <f>J17*E17</f>
        <v/>
      </c>
    </row>
    <row r="18">
      <c r="B18" s="24" t="inlineStr">
        <is>
          <t>W</t>
        </is>
      </c>
      <c r="C18" s="23" t="n">
        <v>1</v>
      </c>
      <c r="D18" s="23" t="n">
        <v>10</v>
      </c>
      <c r="E18" s="23" t="n">
        <v>15</v>
      </c>
      <c r="F18" s="23" t="inlineStr">
        <is>
          <t>버프</t>
        </is>
      </c>
      <c r="G18" s="23" t="n">
        <v>0</v>
      </c>
      <c r="H18" s="23" t="inlineStr">
        <is>
          <t>다음 평타 강화(3s)</t>
        </is>
      </c>
      <c r="I18" s="23" t="inlineStr">
        <is>
          <t>업타임 27%</t>
        </is>
      </c>
      <c r="J18" s="159">
        <f>60/(D18+1)</f>
        <v/>
      </c>
      <c r="K18" s="23" t="inlineStr">
        <is>
          <t>0</t>
        </is>
      </c>
      <c r="L18" s="62">
        <f>J18*E18</f>
        <v/>
      </c>
    </row>
    <row r="19">
      <c r="B19" s="38" t="n"/>
      <c r="C19" s="39" t="n">
        <v>2</v>
      </c>
      <c r="D19" s="39" t="n">
        <v>10</v>
      </c>
      <c r="E19" s="39" t="n">
        <v>15</v>
      </c>
      <c r="F19" s="39" t="inlineStr">
        <is>
          <t>버프</t>
        </is>
      </c>
      <c r="G19" s="39" t="n">
        <v>0</v>
      </c>
      <c r="H19" s="39" t="inlineStr">
        <is>
          <t>다음 평타 강화(3s)</t>
        </is>
      </c>
      <c r="I19" s="40" t="inlineStr">
        <is>
          <t>업타임 27%</t>
        </is>
      </c>
      <c r="J19" s="160">
        <f>60/(D19+1)</f>
        <v/>
      </c>
      <c r="K19" s="40" t="inlineStr">
        <is>
          <t>0</t>
        </is>
      </c>
      <c r="L19" s="63">
        <f>J19*E19</f>
        <v/>
      </c>
    </row>
    <row r="20">
      <c r="B20" s="38" t="n"/>
      <c r="C20" s="39" t="n">
        <v>3</v>
      </c>
      <c r="D20" s="39" t="n">
        <v>10</v>
      </c>
      <c r="E20" s="39" t="n">
        <v>15</v>
      </c>
      <c r="F20" s="39" t="inlineStr">
        <is>
          <t>버프</t>
        </is>
      </c>
      <c r="G20" s="39" t="n">
        <v>0</v>
      </c>
      <c r="H20" s="39" t="inlineStr">
        <is>
          <t>다음 평타 강화(3s)</t>
        </is>
      </c>
      <c r="I20" s="40" t="inlineStr">
        <is>
          <t>업타임 27%</t>
        </is>
      </c>
      <c r="J20" s="160">
        <f>60/(D20+1)</f>
        <v/>
      </c>
      <c r="K20" s="40" t="inlineStr">
        <is>
          <t>0</t>
        </is>
      </c>
      <c r="L20" s="63">
        <f>J20*E20</f>
        <v/>
      </c>
    </row>
    <row r="21">
      <c r="B21" s="38" t="n"/>
      <c r="C21" s="39" t="n">
        <v>4</v>
      </c>
      <c r="D21" s="39" t="n">
        <v>10</v>
      </c>
      <c r="E21" s="39" t="n">
        <v>15</v>
      </c>
      <c r="F21" s="39" t="inlineStr">
        <is>
          <t>버프</t>
        </is>
      </c>
      <c r="G21" s="39" t="n">
        <v>0</v>
      </c>
      <c r="H21" s="39" t="inlineStr">
        <is>
          <t>다음 평타 강화(3s)</t>
        </is>
      </c>
      <c r="I21" s="40" t="inlineStr">
        <is>
          <t>업타임 27%</t>
        </is>
      </c>
      <c r="J21" s="160">
        <f>60/(D21+1)</f>
        <v/>
      </c>
      <c r="K21" s="40" t="inlineStr">
        <is>
          <t>0</t>
        </is>
      </c>
      <c r="L21" s="63">
        <f>J21*E21</f>
        <v/>
      </c>
    </row>
    <row r="22">
      <c r="B22" s="38" t="n"/>
      <c r="C22" s="39" t="n">
        <v>5</v>
      </c>
      <c r="D22" s="39" t="n">
        <v>10</v>
      </c>
      <c r="E22" s="39" t="n">
        <v>15</v>
      </c>
      <c r="F22" s="39" t="inlineStr">
        <is>
          <t>버프</t>
        </is>
      </c>
      <c r="G22" s="39" t="n">
        <v>0</v>
      </c>
      <c r="H22" s="39" t="inlineStr">
        <is>
          <t>다음 평타 강화(3s)</t>
        </is>
      </c>
      <c r="I22" s="40" t="inlineStr">
        <is>
          <t>업타임 27%</t>
        </is>
      </c>
      <c r="J22" s="160">
        <f>60/(D22+1)</f>
        <v/>
      </c>
      <c r="K22" s="40" t="inlineStr">
        <is>
          <t>0</t>
        </is>
      </c>
      <c r="L22" s="63">
        <f>J22*E22</f>
        <v/>
      </c>
    </row>
    <row r="23">
      <c r="B23" s="26" t="inlineStr">
        <is>
          <t>E</t>
        </is>
      </c>
      <c r="C23" s="25" t="n">
        <v>1</v>
      </c>
      <c r="D23" s="25" t="n">
        <v>15</v>
      </c>
      <c r="E23" s="25" t="n">
        <v>15</v>
      </c>
      <c r="F23" s="25" t="inlineStr">
        <is>
          <t>단일 공격</t>
        </is>
      </c>
      <c r="G23" s="25" t="n">
        <v>3</v>
      </c>
      <c r="H23" s="25" t="n"/>
      <c r="I23" s="41">
        <f>G23/(D23+1)</f>
        <v/>
      </c>
      <c r="J23" s="155">
        <f>60/(D23+1)</f>
        <v/>
      </c>
      <c r="K23" s="41">
        <f>J23*G23</f>
        <v/>
      </c>
      <c r="L23" s="43">
        <f>J23*E23</f>
        <v/>
      </c>
    </row>
    <row r="24">
      <c r="B24" s="44" t="n"/>
      <c r="C24" s="45" t="n">
        <v>2</v>
      </c>
      <c r="D24" s="45" t="n">
        <v>15</v>
      </c>
      <c r="E24" s="45" t="n">
        <v>15</v>
      </c>
      <c r="F24" s="45" t="inlineStr">
        <is>
          <t>단일 공격</t>
        </is>
      </c>
      <c r="G24" s="45" t="n">
        <v>3</v>
      </c>
      <c r="H24" s="45" t="n"/>
      <c r="I24" s="46">
        <f>G24/(D24+1)</f>
        <v/>
      </c>
      <c r="J24" s="156">
        <f>60/(D24+1)</f>
        <v/>
      </c>
      <c r="K24" s="46">
        <f>J24*G24</f>
        <v/>
      </c>
      <c r="L24" s="48">
        <f>J24*E24</f>
        <v/>
      </c>
    </row>
    <row r="25">
      <c r="B25" s="44" t="n"/>
      <c r="C25" s="45" t="n">
        <v>3</v>
      </c>
      <c r="D25" s="45" t="n">
        <v>15</v>
      </c>
      <c r="E25" s="45" t="n">
        <v>15</v>
      </c>
      <c r="F25" s="45" t="inlineStr">
        <is>
          <t>단일 공격</t>
        </is>
      </c>
      <c r="G25" s="45" t="n">
        <v>3</v>
      </c>
      <c r="H25" s="45" t="n"/>
      <c r="I25" s="46">
        <f>G25/(D25+1)</f>
        <v/>
      </c>
      <c r="J25" s="156">
        <f>60/(D25+1)</f>
        <v/>
      </c>
      <c r="K25" s="46">
        <f>J25*G25</f>
        <v/>
      </c>
      <c r="L25" s="48">
        <f>J25*E25</f>
        <v/>
      </c>
    </row>
    <row r="26">
      <c r="B26" s="44" t="n"/>
      <c r="C26" s="45" t="n">
        <v>4</v>
      </c>
      <c r="D26" s="45" t="n">
        <v>15</v>
      </c>
      <c r="E26" s="45" t="n">
        <v>15</v>
      </c>
      <c r="F26" s="45" t="inlineStr">
        <is>
          <t>단일 공격</t>
        </is>
      </c>
      <c r="G26" s="45" t="n">
        <v>3</v>
      </c>
      <c r="H26" s="45" t="n"/>
      <c r="I26" s="46">
        <f>G26/(D26+1)</f>
        <v/>
      </c>
      <c r="J26" s="156">
        <f>60/(D26+1)</f>
        <v/>
      </c>
      <c r="K26" s="46">
        <f>J26*G26</f>
        <v/>
      </c>
      <c r="L26" s="48">
        <f>J26*E26</f>
        <v/>
      </c>
    </row>
    <row r="27">
      <c r="B27" s="44" t="n"/>
      <c r="C27" s="45" t="n">
        <v>5</v>
      </c>
      <c r="D27" s="45" t="n">
        <v>15</v>
      </c>
      <c r="E27" s="45" t="n">
        <v>15</v>
      </c>
      <c r="F27" s="45" t="inlineStr">
        <is>
          <t>단일 공격</t>
        </is>
      </c>
      <c r="G27" s="45" t="n">
        <v>3</v>
      </c>
      <c r="H27" s="45" t="n"/>
      <c r="I27" s="46">
        <f>G27/(D27+1)</f>
        <v/>
      </c>
      <c r="J27" s="156">
        <f>60/(D27+1)</f>
        <v/>
      </c>
      <c r="K27" s="46">
        <f>J27*G27</f>
        <v/>
      </c>
      <c r="L27" s="48">
        <f>J27*E27</f>
        <v/>
      </c>
    </row>
    <row r="28">
      <c r="B28" s="28" t="inlineStr">
        <is>
          <t>R</t>
        </is>
      </c>
      <c r="C28" s="27" t="n">
        <v>1</v>
      </c>
      <c r="D28" s="27" t="n">
        <v>40</v>
      </c>
      <c r="E28" s="27" t="n">
        <v>100</v>
      </c>
      <c r="F28" s="27" t="inlineStr">
        <is>
          <t>버프 (평타→광역)</t>
        </is>
      </c>
      <c r="G28" s="27" t="n">
        <v>0</v>
      </c>
      <c r="H28" s="27" t="inlineStr">
        <is>
          <t>치명률+300|치명피해+500|공속+500|이속+500 / 평타→광역420%×5 / 지속15s</t>
        </is>
      </c>
      <c r="I28" s="27" t="inlineStr">
        <is>
          <t>업타임 37%</t>
        </is>
      </c>
      <c r="J28" s="157">
        <f>60/(D28+1)</f>
        <v/>
      </c>
      <c r="K28" s="27" t="inlineStr">
        <is>
          <t>0</t>
        </is>
      </c>
      <c r="L28" s="51">
        <f>J28*E28</f>
        <v/>
      </c>
    </row>
    <row r="29">
      <c r="B29" s="52" t="n"/>
      <c r="C29" s="53" t="n">
        <v>2</v>
      </c>
      <c r="D29" s="53" t="n">
        <v>40</v>
      </c>
      <c r="E29" s="53" t="n">
        <v>100</v>
      </c>
      <c r="F29" s="53" t="inlineStr">
        <is>
          <t>버프 (평타→광역)</t>
        </is>
      </c>
      <c r="G29" s="53" t="n">
        <v>0</v>
      </c>
      <c r="H29" s="53" t="inlineStr">
        <is>
          <t>치명률+330|치명피해+500|공속+500|이속+500 / 평타→광역420%×5 / 지속15s</t>
        </is>
      </c>
      <c r="I29" s="61" t="inlineStr">
        <is>
          <t>업타임 37%</t>
        </is>
      </c>
      <c r="J29" s="158">
        <f>60/(D29+1)</f>
        <v/>
      </c>
      <c r="K29" s="61" t="inlineStr">
        <is>
          <t>0</t>
        </is>
      </c>
      <c r="L29" s="56">
        <f>J29*E29</f>
        <v/>
      </c>
    </row>
    <row r="30">
      <c r="B30" s="52" t="n"/>
      <c r="C30" s="53" t="n">
        <v>3</v>
      </c>
      <c r="D30" s="53" t="n">
        <v>40</v>
      </c>
      <c r="E30" s="53" t="n">
        <v>100</v>
      </c>
      <c r="F30" s="53" t="inlineStr">
        <is>
          <t>버프 (평타→광역)</t>
        </is>
      </c>
      <c r="G30" s="53" t="n">
        <v>0</v>
      </c>
      <c r="H30" s="53" t="inlineStr">
        <is>
          <t>치명률+360|치명피해+500|공속+500|이속+500 / 평타→광역420%×5 / 지속15s</t>
        </is>
      </c>
      <c r="I30" s="61" t="inlineStr">
        <is>
          <t>업타임 37%</t>
        </is>
      </c>
      <c r="J30" s="158">
        <f>60/(D30+1)</f>
        <v/>
      </c>
      <c r="K30" s="61" t="inlineStr">
        <is>
          <t>0</t>
        </is>
      </c>
      <c r="L30" s="56">
        <f>J30*E30</f>
        <v/>
      </c>
    </row>
    <row r="31">
      <c r="B31" s="52" t="n"/>
      <c r="C31" s="53" t="n">
        <v>4</v>
      </c>
      <c r="D31" s="53" t="n">
        <v>40</v>
      </c>
      <c r="E31" s="53" t="n">
        <v>100</v>
      </c>
      <c r="F31" s="53" t="inlineStr">
        <is>
          <t>버프 (평타→광역)</t>
        </is>
      </c>
      <c r="G31" s="53" t="n">
        <v>0</v>
      </c>
      <c r="H31" s="53" t="inlineStr">
        <is>
          <t>치명률+390|치명피해+500|공속+500|이속+500 / 평타→광역420%×5 / 지속15s</t>
        </is>
      </c>
      <c r="I31" s="61" t="inlineStr">
        <is>
          <t>업타임 37%</t>
        </is>
      </c>
      <c r="J31" s="158">
        <f>60/(D31+1)</f>
        <v/>
      </c>
      <c r="K31" s="61" t="inlineStr">
        <is>
          <t>0</t>
        </is>
      </c>
      <c r="L31" s="56">
        <f>J31*E31</f>
        <v/>
      </c>
    </row>
    <row r="32">
      <c r="B32" s="52" t="n"/>
      <c r="C32" s="53" t="n">
        <v>5</v>
      </c>
      <c r="D32" s="53" t="n">
        <v>40</v>
      </c>
      <c r="E32" s="53" t="n">
        <v>100</v>
      </c>
      <c r="F32" s="53" t="inlineStr">
        <is>
          <t>버프 (평타→광역)</t>
        </is>
      </c>
      <c r="G32" s="53" t="n">
        <v>0</v>
      </c>
      <c r="H32" s="53" t="inlineStr">
        <is>
          <t>치명률+420|치명피해+500|공속+500|이속+500 / 평타→광역420%×5 / 지속15s</t>
        </is>
      </c>
      <c r="I32" s="61" t="inlineStr">
        <is>
          <t>업타임 37%</t>
        </is>
      </c>
      <c r="J32" s="158">
        <f>60/(D32+1)</f>
        <v/>
      </c>
      <c r="K32" s="61" t="inlineStr">
        <is>
          <t>0</t>
        </is>
      </c>
      <c r="L32" s="56">
        <f>J32*E32</f>
        <v/>
      </c>
    </row>
    <row r="34">
      <c r="B34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5" t="n"/>
    </row>
    <row r="36" ht="21.95" customHeight="1" s="133">
      <c r="B36" s="125" t="inlineStr">
        <is>
          <t>▶ 2번 스킬셋  |  ⚖️ 일부 균형 추정값 적용 (그림자 매·진격·전율하는 매, Lv.1)</t>
        </is>
      </c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5" t="n"/>
    </row>
    <row r="37">
      <c r="B37" s="122" t="inlineStr">
        <is>
          <t>커맨드</t>
        </is>
      </c>
      <c r="C37" s="122" t="inlineStr">
        <is>
          <t>스킬명</t>
        </is>
      </c>
      <c r="D37" s="122" t="inlineStr">
        <is>
          <t>유형</t>
        </is>
      </c>
      <c r="E37" s="122" t="inlineStr">
        <is>
          <t>설명</t>
        </is>
      </c>
      <c r="F37" s="114" t="n"/>
      <c r="G37" s="114" t="n"/>
      <c r="H37" s="114" t="n"/>
      <c r="I37" s="114" t="n"/>
      <c r="J37" s="114" t="n"/>
      <c r="K37" s="114" t="n"/>
      <c r="L37" s="114" t="n"/>
      <c r="M37" s="115" t="n"/>
    </row>
    <row r="38" ht="18" customHeight="1" s="133">
      <c r="B38" s="21" t="inlineStr">
        <is>
          <t>Q</t>
        </is>
      </c>
      <c r="C38" s="22" t="inlineStr">
        <is>
          <t>그림자 매</t>
        </is>
      </c>
      <c r="D38" s="22" t="inlineStr">
        <is>
          <t>단일 공격</t>
        </is>
      </c>
      <c r="E38" s="124" t="inlineStr">
        <is>
          <t>그림자처럼 빠르게 적을 베어 피해를 입힙니다.</t>
        </is>
      </c>
      <c r="F38" s="114" t="n"/>
      <c r="G38" s="114" t="n"/>
      <c r="H38" s="114" t="n"/>
      <c r="I38" s="114" t="n"/>
      <c r="J38" s="114" t="n"/>
      <c r="K38" s="114" t="n"/>
      <c r="L38" s="114" t="n"/>
      <c r="M38" s="115" t="n"/>
    </row>
    <row r="39" ht="18" customHeight="1" s="133">
      <c r="B39" s="23" t="inlineStr">
        <is>
          <t>W</t>
        </is>
      </c>
      <c r="C39" s="24" t="inlineStr">
        <is>
          <t>쌍수 달인</t>
        </is>
      </c>
      <c r="D39" s="24" t="inlineStr">
        <is>
          <t>버프</t>
        </is>
      </c>
      <c r="E39" s="126" t="inlineStr">
        <is>
          <t>쌍수 기술로 공격 속도를 강화합니다.</t>
        </is>
      </c>
      <c r="F39" s="114" t="n"/>
      <c r="G39" s="114" t="n"/>
      <c r="H39" s="114" t="n"/>
      <c r="I39" s="114" t="n"/>
      <c r="J39" s="114" t="n"/>
      <c r="K39" s="114" t="n"/>
      <c r="L39" s="114" t="n"/>
      <c r="M39" s="115" t="n"/>
    </row>
    <row r="40" ht="18" customHeight="1" s="133">
      <c r="B40" s="25" t="inlineStr">
        <is>
          <t>E</t>
        </is>
      </c>
      <c r="C40" s="26" t="inlineStr">
        <is>
          <t>진격</t>
        </is>
      </c>
      <c r="D40" s="26" t="inlineStr">
        <is>
          <t>단일 공격</t>
        </is>
      </c>
      <c r="E40" s="120" t="inlineStr">
        <is>
          <t>적에게 빠르게 돌진하며 피해를 입힙니다.</t>
        </is>
      </c>
      <c r="F40" s="114" t="n"/>
      <c r="G40" s="114" t="n"/>
      <c r="H40" s="114" t="n"/>
      <c r="I40" s="114" t="n"/>
      <c r="J40" s="114" t="n"/>
      <c r="K40" s="114" t="n"/>
      <c r="L40" s="114" t="n"/>
      <c r="M40" s="115" t="n"/>
    </row>
    <row r="41" ht="18" customHeight="1" s="133">
      <c r="B41" s="27" t="inlineStr">
        <is>
          <t>R</t>
        </is>
      </c>
      <c r="C41" s="28" t="inlineStr">
        <is>
          <t>전율하는 매</t>
        </is>
      </c>
      <c r="D41" s="28" t="inlineStr">
        <is>
          <t>단일 공격</t>
        </is>
      </c>
      <c r="E41" s="121" t="inlineStr">
        <is>
          <t>강력한 일격으로 적을 전율하게 만듭니다.</t>
        </is>
      </c>
      <c r="F41" s="114" t="n"/>
      <c r="G41" s="114" t="n"/>
      <c r="H41" s="114" t="n"/>
      <c r="I41" s="114" t="n"/>
      <c r="J41" s="114" t="n"/>
      <c r="K41" s="114" t="n"/>
      <c r="L41" s="114" t="n"/>
      <c r="M41" s="115" t="n"/>
    </row>
    <row r="43">
      <c r="B43" s="118" t="inlineStr">
        <is>
          <t>⚔️ 스킬 강화 정보 — 2번 스킬셋</t>
        </is>
      </c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5" t="n"/>
    </row>
    <row r="44" ht="30" customHeight="1" s="133">
      <c r="B44" s="130" t="inlineStr">
        <is>
          <t>커맨드</t>
        </is>
      </c>
      <c r="C44" s="130" t="inlineStr">
        <is>
          <t>레벨</t>
        </is>
      </c>
      <c r="D44" s="130" t="inlineStr">
        <is>
          <t>쿨타임(s)</t>
        </is>
      </c>
      <c r="E44" s="130" t="inlineStr">
        <is>
          <t>마나소모</t>
        </is>
      </c>
      <c r="F44" s="130" t="inlineStr">
        <is>
          <t>공격유형</t>
        </is>
      </c>
      <c r="G44" s="130" t="inlineStr">
        <is>
          <t>피해량(배율)</t>
        </is>
      </c>
      <c r="H44" s="130" t="inlineStr">
        <is>
          <t>버프/디버프</t>
        </is>
      </c>
      <c r="I44" s="130" t="inlineStr">
        <is>
          <t>DPS</t>
        </is>
      </c>
      <c r="J44" s="130" t="inlineStr">
        <is>
          <t>분당횟수</t>
        </is>
      </c>
      <c r="K44" s="130" t="inlineStr">
        <is>
          <t>1분누적피해</t>
        </is>
      </c>
      <c r="L44" s="130" t="inlineStr">
        <is>
          <t>1분마나소모</t>
        </is>
      </c>
    </row>
    <row r="45">
      <c r="B45" s="22" t="inlineStr">
        <is>
          <t>Q</t>
        </is>
      </c>
      <c r="C45" s="21" t="n">
        <v>1</v>
      </c>
      <c r="D45" s="21" t="n">
        <v>5</v>
      </c>
      <c r="E45" s="21" t="n">
        <v>20</v>
      </c>
      <c r="F45" s="21" t="inlineStr">
        <is>
          <t>단일 공격</t>
        </is>
      </c>
      <c r="G45" s="21" t="n">
        <v>1.5</v>
      </c>
      <c r="H45" s="21" t="n"/>
      <c r="I45" s="30">
        <f>G45/(D45+1)</f>
        <v/>
      </c>
      <c r="J45" s="153">
        <f>60/(D45+1)</f>
        <v/>
      </c>
      <c r="K45" s="30">
        <f>J45*G45</f>
        <v/>
      </c>
      <c r="L45" s="32">
        <f>J45*E45</f>
        <v/>
      </c>
    </row>
    <row r="46">
      <c r="B46" s="33" t="n"/>
      <c r="C46" s="34" t="n">
        <v>2</v>
      </c>
      <c r="D46" s="34" t="n">
        <v>5</v>
      </c>
      <c r="E46" s="34" t="n">
        <v>20</v>
      </c>
      <c r="F46" s="34" t="inlineStr">
        <is>
          <t>단일 공격</t>
        </is>
      </c>
      <c r="G46" s="34" t="n">
        <v>1.5</v>
      </c>
      <c r="H46" s="34" t="n"/>
      <c r="I46" s="35">
        <f>G46/(D46+1)</f>
        <v/>
      </c>
      <c r="J46" s="154">
        <f>60/(D46+1)</f>
        <v/>
      </c>
      <c r="K46" s="35">
        <f>J46*G46</f>
        <v/>
      </c>
      <c r="L46" s="37">
        <f>J46*E46</f>
        <v/>
      </c>
    </row>
    <row r="47">
      <c r="B47" s="33" t="n"/>
      <c r="C47" s="34" t="n">
        <v>3</v>
      </c>
      <c r="D47" s="34" t="n">
        <v>5</v>
      </c>
      <c r="E47" s="34" t="n">
        <v>20</v>
      </c>
      <c r="F47" s="34" t="inlineStr">
        <is>
          <t>단일 공격</t>
        </is>
      </c>
      <c r="G47" s="34" t="n">
        <v>1.5</v>
      </c>
      <c r="H47" s="34" t="n"/>
      <c r="I47" s="35">
        <f>G47/(D47+1)</f>
        <v/>
      </c>
      <c r="J47" s="154">
        <f>60/(D47+1)</f>
        <v/>
      </c>
      <c r="K47" s="35">
        <f>J47*G47</f>
        <v/>
      </c>
      <c r="L47" s="37">
        <f>J47*E47</f>
        <v/>
      </c>
    </row>
    <row r="48">
      <c r="B48" s="33" t="n"/>
      <c r="C48" s="34" t="n">
        <v>4</v>
      </c>
      <c r="D48" s="34" t="n">
        <v>5</v>
      </c>
      <c r="E48" s="34" t="n">
        <v>20</v>
      </c>
      <c r="F48" s="34" t="inlineStr">
        <is>
          <t>단일 공격</t>
        </is>
      </c>
      <c r="G48" s="34" t="n">
        <v>1.5</v>
      </c>
      <c r="H48" s="34" t="n"/>
      <c r="I48" s="35">
        <f>G48/(D48+1)</f>
        <v/>
      </c>
      <c r="J48" s="154">
        <f>60/(D48+1)</f>
        <v/>
      </c>
      <c r="K48" s="35">
        <f>J48*G48</f>
        <v/>
      </c>
      <c r="L48" s="37">
        <f>J48*E48</f>
        <v/>
      </c>
    </row>
    <row r="49">
      <c r="B49" s="33" t="n"/>
      <c r="C49" s="34" t="n">
        <v>5</v>
      </c>
      <c r="D49" s="34" t="n">
        <v>5</v>
      </c>
      <c r="E49" s="34" t="n">
        <v>20</v>
      </c>
      <c r="F49" s="34" t="inlineStr">
        <is>
          <t>단일 공격</t>
        </is>
      </c>
      <c r="G49" s="34" t="n">
        <v>1.5</v>
      </c>
      <c r="H49" s="34" t="n"/>
      <c r="I49" s="35">
        <f>G49/(D49+1)</f>
        <v/>
      </c>
      <c r="J49" s="154">
        <f>60/(D49+1)</f>
        <v/>
      </c>
      <c r="K49" s="35">
        <f>J49*G49</f>
        <v/>
      </c>
      <c r="L49" s="37">
        <f>J49*E49</f>
        <v/>
      </c>
    </row>
    <row r="50">
      <c r="B50" s="24" t="inlineStr">
        <is>
          <t>W</t>
        </is>
      </c>
      <c r="C50" s="23" t="n">
        <v>1</v>
      </c>
      <c r="D50" s="23" t="n">
        <v>12</v>
      </c>
      <c r="E50" s="23" t="n">
        <v>20</v>
      </c>
      <c r="F50" s="23" t="inlineStr">
        <is>
          <t>버프</t>
        </is>
      </c>
      <c r="G50" s="23" t="n">
        <v>0</v>
      </c>
      <c r="H50" s="23" t="inlineStr">
        <is>
          <t>공속+35%(350천분률) / 15s</t>
        </is>
      </c>
      <c r="I50" s="23" t="inlineStr">
        <is>
          <t>상시 유지</t>
        </is>
      </c>
      <c r="J50" s="159">
        <f>60/(D50+1)</f>
        <v/>
      </c>
      <c r="K50" s="23" t="inlineStr">
        <is>
          <t>0</t>
        </is>
      </c>
      <c r="L50" s="62">
        <f>J50*E50</f>
        <v/>
      </c>
    </row>
    <row r="51">
      <c r="B51" s="38" t="n"/>
      <c r="C51" s="39" t="n">
        <v>2</v>
      </c>
      <c r="D51" s="39" t="n">
        <v>12</v>
      </c>
      <c r="E51" s="39" t="n">
        <v>25</v>
      </c>
      <c r="F51" s="39" t="inlineStr">
        <is>
          <t>버프</t>
        </is>
      </c>
      <c r="G51" s="39" t="n">
        <v>0</v>
      </c>
      <c r="H51" s="39" t="inlineStr">
        <is>
          <t>공속+35%(350천분률) / 15s</t>
        </is>
      </c>
      <c r="I51" s="40" t="inlineStr">
        <is>
          <t>상시 유지</t>
        </is>
      </c>
      <c r="J51" s="160">
        <f>60/(D51+1)</f>
        <v/>
      </c>
      <c r="K51" s="40" t="inlineStr">
        <is>
          <t>0</t>
        </is>
      </c>
      <c r="L51" s="63">
        <f>J51*E51</f>
        <v/>
      </c>
    </row>
    <row r="52">
      <c r="B52" s="38" t="n"/>
      <c r="C52" s="39" t="n">
        <v>3</v>
      </c>
      <c r="D52" s="39" t="n">
        <v>12</v>
      </c>
      <c r="E52" s="39" t="n">
        <v>30</v>
      </c>
      <c r="F52" s="39" t="inlineStr">
        <is>
          <t>버프</t>
        </is>
      </c>
      <c r="G52" s="39" t="n">
        <v>0</v>
      </c>
      <c r="H52" s="39" t="inlineStr">
        <is>
          <t>공속+35%(350천분률) / 15s</t>
        </is>
      </c>
      <c r="I52" s="40" t="inlineStr">
        <is>
          <t>상시 유지</t>
        </is>
      </c>
      <c r="J52" s="160">
        <f>60/(D52+1)</f>
        <v/>
      </c>
      <c r="K52" s="40" t="inlineStr">
        <is>
          <t>0</t>
        </is>
      </c>
      <c r="L52" s="63">
        <f>J52*E52</f>
        <v/>
      </c>
    </row>
    <row r="53">
      <c r="B53" s="38" t="n"/>
      <c r="C53" s="39" t="n">
        <v>4</v>
      </c>
      <c r="D53" s="39" t="n">
        <v>12</v>
      </c>
      <c r="E53" s="39" t="n">
        <v>35</v>
      </c>
      <c r="F53" s="39" t="inlineStr">
        <is>
          <t>버프</t>
        </is>
      </c>
      <c r="G53" s="39" t="n">
        <v>0</v>
      </c>
      <c r="H53" s="39" t="inlineStr">
        <is>
          <t>공속+35%(350천분률) / 15s</t>
        </is>
      </c>
      <c r="I53" s="40" t="inlineStr">
        <is>
          <t>상시 유지</t>
        </is>
      </c>
      <c r="J53" s="160">
        <f>60/(D53+1)</f>
        <v/>
      </c>
      <c r="K53" s="40" t="inlineStr">
        <is>
          <t>0</t>
        </is>
      </c>
      <c r="L53" s="63">
        <f>J53*E53</f>
        <v/>
      </c>
    </row>
    <row r="54">
      <c r="B54" s="38" t="n"/>
      <c r="C54" s="39" t="n">
        <v>5</v>
      </c>
      <c r="D54" s="39" t="n">
        <v>12</v>
      </c>
      <c r="E54" s="39" t="n">
        <v>40</v>
      </c>
      <c r="F54" s="39" t="inlineStr">
        <is>
          <t>버프</t>
        </is>
      </c>
      <c r="G54" s="39" t="n">
        <v>0</v>
      </c>
      <c r="H54" s="39" t="inlineStr">
        <is>
          <t>공속+35%(350천분률) / 15s</t>
        </is>
      </c>
      <c r="I54" s="40" t="inlineStr">
        <is>
          <t>상시 유지</t>
        </is>
      </c>
      <c r="J54" s="160">
        <f>60/(D54+1)</f>
        <v/>
      </c>
      <c r="K54" s="40" t="inlineStr">
        <is>
          <t>0</t>
        </is>
      </c>
      <c r="L54" s="63">
        <f>J54*E54</f>
        <v/>
      </c>
    </row>
    <row r="55">
      <c r="B55" s="26" t="inlineStr">
        <is>
          <t>E</t>
        </is>
      </c>
      <c r="C55" s="25" t="n">
        <v>1</v>
      </c>
      <c r="D55" s="25" t="n">
        <v>12</v>
      </c>
      <c r="E55" s="25" t="n">
        <v>25</v>
      </c>
      <c r="F55" s="25" t="inlineStr">
        <is>
          <t>단일 공격</t>
        </is>
      </c>
      <c r="G55" s="25" t="n">
        <v>2</v>
      </c>
      <c r="H55" s="25" t="n"/>
      <c r="I55" s="41">
        <f>G55/(D55+1)</f>
        <v/>
      </c>
      <c r="J55" s="155">
        <f>60/(D55+1)</f>
        <v/>
      </c>
      <c r="K55" s="41">
        <f>J55*G55</f>
        <v/>
      </c>
      <c r="L55" s="43">
        <f>J55*E55</f>
        <v/>
      </c>
    </row>
    <row r="56">
      <c r="B56" s="44" t="n"/>
      <c r="C56" s="45" t="n">
        <v>2</v>
      </c>
      <c r="D56" s="45" t="n">
        <v>12</v>
      </c>
      <c r="E56" s="45" t="n">
        <v>25</v>
      </c>
      <c r="F56" s="45" t="inlineStr">
        <is>
          <t>단일 공격</t>
        </is>
      </c>
      <c r="G56" s="45" t="n">
        <v>2</v>
      </c>
      <c r="H56" s="45" t="n"/>
      <c r="I56" s="46">
        <f>G56/(D56+1)</f>
        <v/>
      </c>
      <c r="J56" s="156">
        <f>60/(D56+1)</f>
        <v/>
      </c>
      <c r="K56" s="46">
        <f>J56*G56</f>
        <v/>
      </c>
      <c r="L56" s="48">
        <f>J56*E56</f>
        <v/>
      </c>
    </row>
    <row r="57">
      <c r="B57" s="44" t="n"/>
      <c r="C57" s="45" t="n">
        <v>3</v>
      </c>
      <c r="D57" s="45" t="n">
        <v>12</v>
      </c>
      <c r="E57" s="45" t="n">
        <v>25</v>
      </c>
      <c r="F57" s="45" t="inlineStr">
        <is>
          <t>단일 공격</t>
        </is>
      </c>
      <c r="G57" s="45" t="n">
        <v>2</v>
      </c>
      <c r="H57" s="45" t="n"/>
      <c r="I57" s="46">
        <f>G57/(D57+1)</f>
        <v/>
      </c>
      <c r="J57" s="156">
        <f>60/(D57+1)</f>
        <v/>
      </c>
      <c r="K57" s="46">
        <f>J57*G57</f>
        <v/>
      </c>
      <c r="L57" s="48">
        <f>J57*E57</f>
        <v/>
      </c>
    </row>
    <row r="58">
      <c r="B58" s="44" t="n"/>
      <c r="C58" s="45" t="n">
        <v>4</v>
      </c>
      <c r="D58" s="45" t="n">
        <v>12</v>
      </c>
      <c r="E58" s="45" t="n">
        <v>25</v>
      </c>
      <c r="F58" s="45" t="inlineStr">
        <is>
          <t>단일 공격</t>
        </is>
      </c>
      <c r="G58" s="45" t="n">
        <v>2</v>
      </c>
      <c r="H58" s="45" t="n"/>
      <c r="I58" s="46">
        <f>G58/(D58+1)</f>
        <v/>
      </c>
      <c r="J58" s="156">
        <f>60/(D58+1)</f>
        <v/>
      </c>
      <c r="K58" s="46">
        <f>J58*G58</f>
        <v/>
      </c>
      <c r="L58" s="48">
        <f>J58*E58</f>
        <v/>
      </c>
    </row>
    <row r="59">
      <c r="B59" s="44" t="n"/>
      <c r="C59" s="45" t="n">
        <v>5</v>
      </c>
      <c r="D59" s="45" t="n">
        <v>12</v>
      </c>
      <c r="E59" s="45" t="n">
        <v>25</v>
      </c>
      <c r="F59" s="45" t="inlineStr">
        <is>
          <t>단일 공격</t>
        </is>
      </c>
      <c r="G59" s="45" t="n">
        <v>2</v>
      </c>
      <c r="H59" s="45" t="n"/>
      <c r="I59" s="46">
        <f>G59/(D59+1)</f>
        <v/>
      </c>
      <c r="J59" s="156">
        <f>60/(D59+1)</f>
        <v/>
      </c>
      <c r="K59" s="46">
        <f>J59*G59</f>
        <v/>
      </c>
      <c r="L59" s="48">
        <f>J59*E59</f>
        <v/>
      </c>
    </row>
    <row r="60">
      <c r="B60" s="28" t="inlineStr">
        <is>
          <t>R</t>
        </is>
      </c>
      <c r="C60" s="27" t="n">
        <v>1</v>
      </c>
      <c r="D60" s="27" t="n">
        <v>30</v>
      </c>
      <c r="E60" s="27" t="n">
        <v>60</v>
      </c>
      <c r="F60" s="27" t="inlineStr">
        <is>
          <t>단일 공격</t>
        </is>
      </c>
      <c r="G60" s="27" t="n">
        <v>3</v>
      </c>
      <c r="H60" s="27" t="n"/>
      <c r="I60" s="49">
        <f>G60/(D60+1)</f>
        <v/>
      </c>
      <c r="J60" s="157">
        <f>60/(D60+1)</f>
        <v/>
      </c>
      <c r="K60" s="49">
        <f>J60*G60</f>
        <v/>
      </c>
      <c r="L60" s="51">
        <f>J60*E60</f>
        <v/>
      </c>
    </row>
    <row r="61">
      <c r="B61" s="52" t="n"/>
      <c r="C61" s="53" t="n">
        <v>2</v>
      </c>
      <c r="D61" s="53" t="n">
        <v>30</v>
      </c>
      <c r="E61" s="53" t="n">
        <v>60</v>
      </c>
      <c r="F61" s="53" t="inlineStr">
        <is>
          <t>단일 공격</t>
        </is>
      </c>
      <c r="G61" s="53" t="n">
        <v>3</v>
      </c>
      <c r="H61" s="53" t="n"/>
      <c r="I61" s="54">
        <f>G61/(D61+1)</f>
        <v/>
      </c>
      <c r="J61" s="158">
        <f>60/(D61+1)</f>
        <v/>
      </c>
      <c r="K61" s="54">
        <f>J61*G61</f>
        <v/>
      </c>
      <c r="L61" s="56">
        <f>J61*E61</f>
        <v/>
      </c>
    </row>
    <row r="62">
      <c r="B62" s="52" t="n"/>
      <c r="C62" s="53" t="n">
        <v>3</v>
      </c>
      <c r="D62" s="53" t="n">
        <v>30</v>
      </c>
      <c r="E62" s="53" t="n">
        <v>60</v>
      </c>
      <c r="F62" s="53" t="inlineStr">
        <is>
          <t>단일 공격</t>
        </is>
      </c>
      <c r="G62" s="53" t="n">
        <v>3</v>
      </c>
      <c r="H62" s="53" t="n"/>
      <c r="I62" s="54">
        <f>G62/(D62+1)</f>
        <v/>
      </c>
      <c r="J62" s="158">
        <f>60/(D62+1)</f>
        <v/>
      </c>
      <c r="K62" s="54">
        <f>J62*G62</f>
        <v/>
      </c>
      <c r="L62" s="56">
        <f>J62*E62</f>
        <v/>
      </c>
    </row>
    <row r="63">
      <c r="B63" s="52" t="n"/>
      <c r="C63" s="53" t="n">
        <v>4</v>
      </c>
      <c r="D63" s="53" t="n">
        <v>30</v>
      </c>
      <c r="E63" s="53" t="n">
        <v>60</v>
      </c>
      <c r="F63" s="53" t="inlineStr">
        <is>
          <t>단일 공격</t>
        </is>
      </c>
      <c r="G63" s="53" t="n">
        <v>3</v>
      </c>
      <c r="H63" s="53" t="n"/>
      <c r="I63" s="54">
        <f>G63/(D63+1)</f>
        <v/>
      </c>
      <c r="J63" s="158">
        <f>60/(D63+1)</f>
        <v/>
      </c>
      <c r="K63" s="54">
        <f>J63*G63</f>
        <v/>
      </c>
      <c r="L63" s="56">
        <f>J63*E63</f>
        <v/>
      </c>
    </row>
    <row r="64">
      <c r="B64" s="52" t="n"/>
      <c r="C64" s="53" t="n">
        <v>5</v>
      </c>
      <c r="D64" s="53" t="n">
        <v>30</v>
      </c>
      <c r="E64" s="53" t="n">
        <v>60</v>
      </c>
      <c r="F64" s="53" t="inlineStr">
        <is>
          <t>단일 공격</t>
        </is>
      </c>
      <c r="G64" s="53" t="n">
        <v>3</v>
      </c>
      <c r="H64" s="53" t="n"/>
      <c r="I64" s="54">
        <f>G64/(D64+1)</f>
        <v/>
      </c>
      <c r="J64" s="158">
        <f>60/(D64+1)</f>
        <v/>
      </c>
      <c r="K64" s="54">
        <f>J64*G64</f>
        <v/>
      </c>
      <c r="L64" s="56">
        <f>J64*E64</f>
        <v/>
      </c>
    </row>
    <row r="66">
      <c r="B66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5" t="n"/>
    </row>
    <row r="68" ht="21.95" customHeight="1" s="133">
      <c r="B68" s="125" t="inlineStr">
        <is>
          <t>▶ 3번 스킬셋  |  ✅ 전 레벨 데이터 확보 (시뮬레이터 구현)</t>
        </is>
      </c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5" t="n"/>
    </row>
    <row r="69">
      <c r="B69" s="122" t="inlineStr">
        <is>
          <t>커맨드</t>
        </is>
      </c>
      <c r="C69" s="122" t="inlineStr">
        <is>
          <t>스킬명</t>
        </is>
      </c>
      <c r="D69" s="122" t="inlineStr">
        <is>
          <t>유형</t>
        </is>
      </c>
      <c r="E69" s="122" t="inlineStr">
        <is>
          <t>설명</t>
        </is>
      </c>
      <c r="F69" s="114" t="n"/>
      <c r="G69" s="114" t="n"/>
      <c r="H69" s="114" t="n"/>
      <c r="I69" s="114" t="n"/>
      <c r="J69" s="114" t="n"/>
      <c r="K69" s="114" t="n"/>
      <c r="L69" s="114" t="n"/>
      <c r="M69" s="115" t="n"/>
    </row>
    <row r="70" ht="18" customHeight="1" s="133">
      <c r="B70" s="21" t="inlineStr">
        <is>
          <t>Q</t>
        </is>
      </c>
      <c r="C70" s="22" t="inlineStr">
        <is>
          <t>추격자의 발톱</t>
        </is>
      </c>
      <c r="D70" s="22" t="inlineStr">
        <is>
          <t>돌진 공격</t>
        </is>
      </c>
      <c r="E70" s="124" t="inlineStr">
        <is>
          <t>빠르게 베어 피해를 입힙니다.</t>
        </is>
      </c>
      <c r="F70" s="114" t="n"/>
      <c r="G70" s="114" t="n"/>
      <c r="H70" s="114" t="n"/>
      <c r="I70" s="114" t="n"/>
      <c r="J70" s="114" t="n"/>
      <c r="K70" s="114" t="n"/>
      <c r="L70" s="114" t="n"/>
      <c r="M70" s="115" t="n"/>
    </row>
    <row r="71" ht="18" customHeight="1" s="133">
      <c r="B71" s="23" t="inlineStr">
        <is>
          <t>W</t>
        </is>
      </c>
      <c r="C71" s="24" t="inlineStr">
        <is>
          <t>침묵의 일격</t>
        </is>
      </c>
      <c r="D71" s="24" t="inlineStr">
        <is>
          <t>버프 (공격속도)</t>
        </is>
      </c>
      <c r="E71" s="126" t="inlineStr">
        <is>
          <t>무기를 연마하여 공격 속도를 높입니다.</t>
        </is>
      </c>
      <c r="F71" s="114" t="n"/>
      <c r="G71" s="114" t="n"/>
      <c r="H71" s="114" t="n"/>
      <c r="I71" s="114" t="n"/>
      <c r="J71" s="114" t="n"/>
      <c r="K71" s="114" t="n"/>
      <c r="L71" s="114" t="n"/>
      <c r="M71" s="115" t="n"/>
    </row>
    <row r="72" ht="18" customHeight="1" s="133">
      <c r="B72" s="25" t="inlineStr">
        <is>
          <t>E</t>
        </is>
      </c>
      <c r="C72" s="26" t="inlineStr">
        <is>
          <t>사방의 비수</t>
        </is>
      </c>
      <c r="D72" s="26" t="inlineStr">
        <is>
          <t>자기중심 광역</t>
        </is>
      </c>
      <c r="E72" s="120" t="inlineStr">
        <is>
          <t>어둠의 힘으로 강력한 일격을 가합니다.</t>
        </is>
      </c>
      <c r="F72" s="114" t="n"/>
      <c r="G72" s="114" t="n"/>
      <c r="H72" s="114" t="n"/>
      <c r="I72" s="114" t="n"/>
      <c r="J72" s="114" t="n"/>
      <c r="K72" s="114" t="n"/>
      <c r="L72" s="114" t="n"/>
      <c r="M72" s="115" t="n"/>
    </row>
    <row r="73" ht="18" customHeight="1" s="133">
      <c r="B73" s="27" t="inlineStr">
        <is>
          <t>R</t>
        </is>
      </c>
      <c r="C73" s="28" t="inlineStr">
        <is>
          <t>유혈의 장막</t>
        </is>
      </c>
      <c r="D73" s="28" t="inlineStr">
        <is>
          <t>방향 범위 공격</t>
        </is>
      </c>
      <c r="E73" s="121" t="inlineStr">
        <is>
          <t>버프 활성 시 평타가 범위200 최대5타 광역(420%)으로 전환. CriVaryper/CriDmg/공속/이속 대폭 강화. 지속15s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5" t="n"/>
    </row>
    <row r="75">
      <c r="B75" s="118" t="inlineStr">
        <is>
          <t>⚔️ 스킬 강화 정보 — 3번 스킬셋</t>
        </is>
      </c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5" t="n"/>
    </row>
    <row r="76" ht="30" customHeight="1" s="133">
      <c r="B76" s="130" t="inlineStr">
        <is>
          <t>커맨드</t>
        </is>
      </c>
      <c r="C76" s="130" t="inlineStr">
        <is>
          <t>레벨</t>
        </is>
      </c>
      <c r="D76" s="130" t="inlineStr">
        <is>
          <t>쿨타임(s)</t>
        </is>
      </c>
      <c r="E76" s="130" t="inlineStr">
        <is>
          <t>마나소모</t>
        </is>
      </c>
      <c r="F76" s="130" t="inlineStr">
        <is>
          <t>공격유형</t>
        </is>
      </c>
      <c r="G76" s="130" t="inlineStr">
        <is>
          <t>피해량(배율)</t>
        </is>
      </c>
      <c r="H76" s="130" t="inlineStr">
        <is>
          <t>버프/디버프</t>
        </is>
      </c>
      <c r="I76" s="130" t="inlineStr">
        <is>
          <t>DPS</t>
        </is>
      </c>
      <c r="J76" s="130" t="inlineStr">
        <is>
          <t>분당횟수</t>
        </is>
      </c>
      <c r="K76" s="130" t="inlineStr">
        <is>
          <t>1분누적피해</t>
        </is>
      </c>
      <c r="L76" s="130" t="inlineStr">
        <is>
          <t>1분마나소모</t>
        </is>
      </c>
    </row>
    <row r="77">
      <c r="B77" s="22" t="inlineStr">
        <is>
          <t>Q</t>
        </is>
      </c>
      <c r="C77" s="21" t="n">
        <v>1</v>
      </c>
      <c r="D77" s="21" t="n">
        <v>6</v>
      </c>
      <c r="E77" s="21" t="n">
        <v>12</v>
      </c>
      <c r="F77" s="21" t="inlineStr">
        <is>
          <t>돌진 공격 (치명타)</t>
        </is>
      </c>
      <c r="G77" s="21" t="n">
        <v>2.2</v>
      </c>
      <c r="H77" s="21" t="n"/>
      <c r="I77" s="30">
        <f>G77/(D77+1)</f>
        <v/>
      </c>
      <c r="J77" s="153">
        <f>60/(D77+1)</f>
        <v/>
      </c>
      <c r="K77" s="30">
        <f>J77*G77</f>
        <v/>
      </c>
      <c r="L77" s="32">
        <f>J77*E77</f>
        <v/>
      </c>
    </row>
    <row r="78">
      <c r="B78" s="22" t="n"/>
      <c r="C78" s="21" t="n">
        <v>2</v>
      </c>
      <c r="D78" s="21" t="n">
        <v>5.5</v>
      </c>
      <c r="E78" s="21" t="n">
        <v>13</v>
      </c>
      <c r="F78" s="21" t="inlineStr">
        <is>
          <t>돌진 공격 (치명타)</t>
        </is>
      </c>
      <c r="G78" s="21" t="n">
        <v>2.42</v>
      </c>
      <c r="H78" s="21" t="n"/>
      <c r="I78" s="30">
        <f>G78/(D78+1)</f>
        <v/>
      </c>
      <c r="J78" s="153">
        <f>60/(D78+1)</f>
        <v/>
      </c>
      <c r="K78" s="30">
        <f>J78*G78</f>
        <v/>
      </c>
      <c r="L78" s="32">
        <f>J78*E78</f>
        <v/>
      </c>
    </row>
    <row r="79">
      <c r="B79" s="22" t="n"/>
      <c r="C79" s="21" t="n">
        <v>3</v>
      </c>
      <c r="D79" s="21" t="n">
        <v>5</v>
      </c>
      <c r="E79" s="21" t="n">
        <v>14</v>
      </c>
      <c r="F79" s="21" t="inlineStr">
        <is>
          <t>돌진 공격 (치명타)</t>
        </is>
      </c>
      <c r="G79" s="21" t="n">
        <v>2.64</v>
      </c>
      <c r="H79" s="21" t="n"/>
      <c r="I79" s="30">
        <f>G79/(D79+1)</f>
        <v/>
      </c>
      <c r="J79" s="153">
        <f>60/(D79+1)</f>
        <v/>
      </c>
      <c r="K79" s="30">
        <f>J79*G79</f>
        <v/>
      </c>
      <c r="L79" s="32">
        <f>J79*E79</f>
        <v/>
      </c>
    </row>
    <row r="80">
      <c r="B80" s="22" t="n"/>
      <c r="C80" s="21" t="n">
        <v>4</v>
      </c>
      <c r="D80" s="21" t="n">
        <v>4.5</v>
      </c>
      <c r="E80" s="21" t="n">
        <v>15</v>
      </c>
      <c r="F80" s="21" t="inlineStr">
        <is>
          <t>돌진 공격 (치명타)</t>
        </is>
      </c>
      <c r="G80" s="21" t="n">
        <v>2.86</v>
      </c>
      <c r="H80" s="21" t="n"/>
      <c r="I80" s="30">
        <f>G80/(D80+1)</f>
        <v/>
      </c>
      <c r="J80" s="153">
        <f>60/(D80+1)</f>
        <v/>
      </c>
      <c r="K80" s="30">
        <f>J80*G80</f>
        <v/>
      </c>
      <c r="L80" s="32">
        <f>J80*E80</f>
        <v/>
      </c>
    </row>
    <row r="81">
      <c r="B81" s="22" t="n"/>
      <c r="C81" s="21" t="n">
        <v>5</v>
      </c>
      <c r="D81" s="21" t="n">
        <v>4</v>
      </c>
      <c r="E81" s="21" t="n">
        <v>17</v>
      </c>
      <c r="F81" s="21" t="inlineStr">
        <is>
          <t>돌진 공격 (치명타)</t>
        </is>
      </c>
      <c r="G81" s="21" t="n">
        <v>3.08</v>
      </c>
      <c r="H81" s="21" t="n"/>
      <c r="I81" s="30">
        <f>G81/(D81+1)</f>
        <v/>
      </c>
      <c r="J81" s="153">
        <f>60/(D81+1)</f>
        <v/>
      </c>
      <c r="K81" s="30">
        <f>J81*G81</f>
        <v/>
      </c>
      <c r="L81" s="32">
        <f>J81*E81</f>
        <v/>
      </c>
    </row>
    <row r="82">
      <c r="B82" s="24" t="inlineStr">
        <is>
          <t>W</t>
        </is>
      </c>
      <c r="C82" s="23" t="n">
        <v>1</v>
      </c>
      <c r="D82" s="23" t="n">
        <v>13</v>
      </c>
      <c r="E82" s="23" t="n">
        <v>18</v>
      </c>
      <c r="F82" s="23" t="inlineStr">
        <is>
          <t>버프 + 공격 (공격속도)</t>
        </is>
      </c>
      <c r="G82" s="23" t="n">
        <v>1.2</v>
      </c>
      <c r="H82" s="23" t="inlineStr">
        <is>
          <t>공격속도 +45% / 5.0s  (사이클 13.0s)</t>
        </is>
      </c>
      <c r="I82" s="23">
        <f>G82/(D82+1)</f>
        <v/>
      </c>
      <c r="J82" s="159">
        <f>60/(D82+1)</f>
        <v/>
      </c>
      <c r="K82" s="23">
        <f>J82*G82</f>
        <v/>
      </c>
      <c r="L82" s="62">
        <f>J82*E82</f>
        <v/>
      </c>
    </row>
    <row r="83">
      <c r="B83" s="24" t="n"/>
      <c r="C83" s="23" t="n">
        <v>2</v>
      </c>
      <c r="D83" s="23" t="n">
        <v>12</v>
      </c>
      <c r="E83" s="23" t="n">
        <v>20</v>
      </c>
      <c r="F83" s="23" t="inlineStr">
        <is>
          <t>버프 + 공격 (공격속도)</t>
        </is>
      </c>
      <c r="G83" s="23" t="n">
        <v>1.32</v>
      </c>
      <c r="H83" s="23" t="inlineStr">
        <is>
          <t>공격속도 +45% / 5.25s  (사이클 13.0s)</t>
        </is>
      </c>
      <c r="I83" s="23">
        <f>G83/(D83+1)</f>
        <v/>
      </c>
      <c r="J83" s="159">
        <f>60/(D83+1)</f>
        <v/>
      </c>
      <c r="K83" s="23">
        <f>J83*G83</f>
        <v/>
      </c>
      <c r="L83" s="62">
        <f>J83*E83</f>
        <v/>
      </c>
    </row>
    <row r="84">
      <c r="B84" s="24" t="n"/>
      <c r="C84" s="23" t="n">
        <v>3</v>
      </c>
      <c r="D84" s="23" t="n">
        <v>12</v>
      </c>
      <c r="E84" s="23" t="n">
        <v>22</v>
      </c>
      <c r="F84" s="23" t="inlineStr">
        <is>
          <t>버프 + 공격 (공격속도)</t>
        </is>
      </c>
      <c r="G84" s="23" t="n">
        <v>1.44</v>
      </c>
      <c r="H84" s="23" t="inlineStr">
        <is>
          <t>공격속도 +45% / 5.5s  (사이클 13.5s)</t>
        </is>
      </c>
      <c r="I84" s="23">
        <f>G84/(D84+1)</f>
        <v/>
      </c>
      <c r="J84" s="159">
        <f>60/(D84+1)</f>
        <v/>
      </c>
      <c r="K84" s="23">
        <f>J84*G84</f>
        <v/>
      </c>
      <c r="L84" s="62">
        <f>J84*E84</f>
        <v/>
      </c>
    </row>
    <row r="85">
      <c r="B85" s="24" t="n"/>
      <c r="C85" s="23" t="n">
        <v>4</v>
      </c>
      <c r="D85" s="23" t="n">
        <v>11</v>
      </c>
      <c r="E85" s="23" t="n">
        <v>24</v>
      </c>
      <c r="F85" s="23" t="inlineStr">
        <is>
          <t>버프 + 공격 (공격속도)</t>
        </is>
      </c>
      <c r="G85" s="23" t="n">
        <v>1.56</v>
      </c>
      <c r="H85" s="23" t="inlineStr">
        <is>
          <t>공격속도 +45% / 5.75s  (사이클 13.5s)</t>
        </is>
      </c>
      <c r="I85" s="23">
        <f>G85/(D85+1)</f>
        <v/>
      </c>
      <c r="J85" s="159">
        <f>60/(D85+1)</f>
        <v/>
      </c>
      <c r="K85" s="23">
        <f>J85*G85</f>
        <v/>
      </c>
      <c r="L85" s="62">
        <f>J85*E85</f>
        <v/>
      </c>
    </row>
    <row r="86">
      <c r="B86" s="24" t="n"/>
      <c r="C86" s="23" t="n">
        <v>5</v>
      </c>
      <c r="D86" s="23" t="n">
        <v>11</v>
      </c>
      <c r="E86" s="23" t="n">
        <v>26</v>
      </c>
      <c r="F86" s="23" t="inlineStr">
        <is>
          <t>버프 + 공격 (공격속도)</t>
        </is>
      </c>
      <c r="G86" s="23" t="n">
        <v>1.68</v>
      </c>
      <c r="H86" s="23" t="inlineStr">
        <is>
          <t>공격속도 +45% / 6.0s  (사이클 14.0s)</t>
        </is>
      </c>
      <c r="I86" s="23">
        <f>G86/(D86+1)</f>
        <v/>
      </c>
      <c r="J86" s="159">
        <f>60/(D86+1)</f>
        <v/>
      </c>
      <c r="K86" s="23">
        <f>J86*G86</f>
        <v/>
      </c>
      <c r="L86" s="62">
        <f>J86*E86</f>
        <v/>
      </c>
    </row>
    <row r="87">
      <c r="B87" s="26" t="inlineStr">
        <is>
          <t>E</t>
        </is>
      </c>
      <c r="C87" s="25" t="n">
        <v>1</v>
      </c>
      <c r="D87" s="25" t="n">
        <v>15</v>
      </c>
      <c r="E87" s="25" t="n">
        <v>25</v>
      </c>
      <c r="F87" s="25" t="inlineStr">
        <is>
          <t>자기중심 광역</t>
        </is>
      </c>
      <c r="G87" s="25" t="n">
        <v>2.5</v>
      </c>
      <c r="H87" s="25" t="n"/>
      <c r="I87" s="41">
        <f>G87/(D87+1)</f>
        <v/>
      </c>
      <c r="J87" s="155">
        <f>60/(D87+1)</f>
        <v/>
      </c>
      <c r="K87" s="41">
        <f>J87*G87</f>
        <v/>
      </c>
      <c r="L87" s="43">
        <f>J87*E87</f>
        <v/>
      </c>
    </row>
    <row r="88">
      <c r="B88" s="26" t="n"/>
      <c r="C88" s="25" t="n">
        <v>2</v>
      </c>
      <c r="D88" s="25" t="n">
        <v>14</v>
      </c>
      <c r="E88" s="25" t="n">
        <v>28</v>
      </c>
      <c r="F88" s="25" t="inlineStr">
        <is>
          <t>자기중심 광역</t>
        </is>
      </c>
      <c r="G88" s="25" t="n">
        <v>2.75</v>
      </c>
      <c r="H88" s="25" t="n"/>
      <c r="I88" s="41">
        <f>G88/(D88+1)</f>
        <v/>
      </c>
      <c r="J88" s="155">
        <f>60/(D88+1)</f>
        <v/>
      </c>
      <c r="K88" s="41">
        <f>J88*G88</f>
        <v/>
      </c>
      <c r="L88" s="43">
        <f>J88*E88</f>
        <v/>
      </c>
    </row>
    <row r="89">
      <c r="B89" s="26" t="n"/>
      <c r="C89" s="25" t="n">
        <v>3</v>
      </c>
      <c r="D89" s="25" t="n">
        <v>13</v>
      </c>
      <c r="E89" s="25" t="n">
        <v>31</v>
      </c>
      <c r="F89" s="25" t="inlineStr">
        <is>
          <t>자기중심 광역</t>
        </is>
      </c>
      <c r="G89" s="25" t="n">
        <v>3</v>
      </c>
      <c r="H89" s="25" t="n"/>
      <c r="I89" s="41">
        <f>G89/(D89+1)</f>
        <v/>
      </c>
      <c r="J89" s="155">
        <f>60/(D89+1)</f>
        <v/>
      </c>
      <c r="K89" s="41">
        <f>J89*G89</f>
        <v/>
      </c>
      <c r="L89" s="43">
        <f>J89*E89</f>
        <v/>
      </c>
    </row>
    <row r="90">
      <c r="B90" s="26" t="n"/>
      <c r="C90" s="25" t="n">
        <v>4</v>
      </c>
      <c r="D90" s="25" t="n">
        <v>12</v>
      </c>
      <c r="E90" s="25" t="n">
        <v>34</v>
      </c>
      <c r="F90" s="25" t="inlineStr">
        <is>
          <t>자기중심 광역</t>
        </is>
      </c>
      <c r="G90" s="25" t="n">
        <v>3.25</v>
      </c>
      <c r="H90" s="25" t="n"/>
      <c r="I90" s="41">
        <f>G90/(D90+1)</f>
        <v/>
      </c>
      <c r="J90" s="155">
        <f>60/(D90+1)</f>
        <v/>
      </c>
      <c r="K90" s="41">
        <f>J90*G90</f>
        <v/>
      </c>
      <c r="L90" s="43">
        <f>J90*E90</f>
        <v/>
      </c>
    </row>
    <row r="91">
      <c r="B91" s="26" t="n"/>
      <c r="C91" s="25" t="n">
        <v>5</v>
      </c>
      <c r="D91" s="25" t="n">
        <v>11</v>
      </c>
      <c r="E91" s="25" t="n">
        <v>37</v>
      </c>
      <c r="F91" s="25" t="inlineStr">
        <is>
          <t>자기중심 광역</t>
        </is>
      </c>
      <c r="G91" s="25" t="n">
        <v>3.5</v>
      </c>
      <c r="H91" s="25" t="n"/>
      <c r="I91" s="41">
        <f>G91/(D91+1)</f>
        <v/>
      </c>
      <c r="J91" s="155">
        <f>60/(D91+1)</f>
        <v/>
      </c>
      <c r="K91" s="41">
        <f>J91*G91</f>
        <v/>
      </c>
      <c r="L91" s="43">
        <f>J91*E91</f>
        <v/>
      </c>
    </row>
    <row r="92">
      <c r="B92" s="28" t="inlineStr">
        <is>
          <t>R</t>
        </is>
      </c>
      <c r="C92" s="27" t="n">
        <v>1</v>
      </c>
      <c r="D92" s="27" t="n">
        <v>40</v>
      </c>
      <c r="E92" s="27" t="n">
        <v>70</v>
      </c>
      <c r="F92" s="27" t="inlineStr">
        <is>
          <t>방향 범위 공격</t>
        </is>
      </c>
      <c r="G92" s="27" t="n">
        <v>5</v>
      </c>
      <c r="H92" s="27" t="n"/>
      <c r="I92" s="27">
        <f>G92/(D92+1)</f>
        <v/>
      </c>
      <c r="J92" s="157">
        <f>60/(D92+1)</f>
        <v/>
      </c>
      <c r="K92" s="27">
        <f>J92*G92</f>
        <v/>
      </c>
      <c r="L92" s="51">
        <f>J92*E92</f>
        <v/>
      </c>
    </row>
    <row r="93">
      <c r="B93" s="28" t="n"/>
      <c r="C93" s="27" t="n">
        <v>2</v>
      </c>
      <c r="D93" s="27" t="n">
        <v>38</v>
      </c>
      <c r="E93" s="27" t="n">
        <v>77</v>
      </c>
      <c r="F93" s="27" t="inlineStr">
        <is>
          <t>방향 범위 공격</t>
        </is>
      </c>
      <c r="G93" s="27" t="n">
        <v>5.5</v>
      </c>
      <c r="H93" s="27" t="n"/>
      <c r="I93" s="27">
        <f>G93/(D93+1)</f>
        <v/>
      </c>
      <c r="J93" s="157">
        <f>60/(D93+1)</f>
        <v/>
      </c>
      <c r="K93" s="27">
        <f>J93*G93</f>
        <v/>
      </c>
      <c r="L93" s="51">
        <f>J93*E93</f>
        <v/>
      </c>
    </row>
    <row r="94">
      <c r="B94" s="28" t="n"/>
      <c r="C94" s="27" t="n">
        <v>3</v>
      </c>
      <c r="D94" s="27" t="n">
        <v>36</v>
      </c>
      <c r="E94" s="27" t="n">
        <v>84</v>
      </c>
      <c r="F94" s="27" t="inlineStr">
        <is>
          <t>방향 범위 공격</t>
        </is>
      </c>
      <c r="G94" s="27" t="n">
        <v>6</v>
      </c>
      <c r="H94" s="27" t="n"/>
      <c r="I94" s="27">
        <f>G94/(D94+1)</f>
        <v/>
      </c>
      <c r="J94" s="157">
        <f>60/(D94+1)</f>
        <v/>
      </c>
      <c r="K94" s="27">
        <f>J94*G94</f>
        <v/>
      </c>
      <c r="L94" s="51">
        <f>J94*E94</f>
        <v/>
      </c>
    </row>
    <row r="95">
      <c r="B95" s="28" t="n"/>
      <c r="C95" s="27" t="n">
        <v>4</v>
      </c>
      <c r="D95" s="27" t="n">
        <v>34</v>
      </c>
      <c r="E95" s="27" t="n">
        <v>91</v>
      </c>
      <c r="F95" s="27" t="inlineStr">
        <is>
          <t>방향 범위 공격</t>
        </is>
      </c>
      <c r="G95" s="27" t="n">
        <v>6.5</v>
      </c>
      <c r="H95" s="27" t="n"/>
      <c r="I95" s="27">
        <f>G95/(D95+1)</f>
        <v/>
      </c>
      <c r="J95" s="157">
        <f>60/(D95+1)</f>
        <v/>
      </c>
      <c r="K95" s="27">
        <f>J95*G95</f>
        <v/>
      </c>
      <c r="L95" s="51">
        <f>J95*E95</f>
        <v/>
      </c>
    </row>
    <row r="96">
      <c r="B96" s="28" t="n"/>
      <c r="C96" s="27" t="n">
        <v>5</v>
      </c>
      <c r="D96" s="27" t="n">
        <v>32</v>
      </c>
      <c r="E96" s="27" t="n">
        <v>98</v>
      </c>
      <c r="F96" s="27" t="inlineStr">
        <is>
          <t>방향 범위 공격</t>
        </is>
      </c>
      <c r="G96" s="27" t="n">
        <v>7</v>
      </c>
      <c r="H96" s="27" t="n"/>
      <c r="I96" s="27">
        <f>G96/(D96+1)</f>
        <v/>
      </c>
      <c r="J96" s="157">
        <f>60/(D96+1)</f>
        <v/>
      </c>
      <c r="K96" s="27">
        <f>J96*G96</f>
        <v/>
      </c>
      <c r="L96" s="51">
        <f>J96*E96</f>
        <v/>
      </c>
    </row>
    <row r="98">
      <c r="B98" s="127" t="inlineStr">
        <is>
          <t>📊 지속 딜링 능력 (1분 기준) — 3번 스킬셋</t>
        </is>
      </c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5" t="n"/>
    </row>
    <row r="99">
      <c r="B99" s="122" t="inlineStr">
        <is>
          <t>레벨</t>
        </is>
      </c>
      <c r="C99" s="122" t="inlineStr">
        <is>
          <t>Q</t>
        </is>
      </c>
      <c r="D99" s="122" t="inlineStr">
        <is>
          <t>W</t>
        </is>
      </c>
      <c r="E99" s="122" t="inlineStr">
        <is>
          <t>E</t>
        </is>
      </c>
      <c r="F99" s="122" t="inlineStr">
        <is>
          <t>R</t>
        </is>
      </c>
      <c r="G99" s="122" t="inlineStr">
        <is>
          <t>1분 합계</t>
        </is>
      </c>
      <c r="H99" s="122" t="inlineStr">
        <is>
          <t>지속DPS</t>
        </is>
      </c>
      <c r="I99" s="122" t="inlineStr">
        <is>
          <t>레벨업 증가율</t>
        </is>
      </c>
    </row>
    <row r="100">
      <c r="B100" s="40" t="n">
        <v>1</v>
      </c>
      <c r="C100" s="65">
        <f>K77</f>
        <v/>
      </c>
      <c r="D100" s="65">
        <f>K82</f>
        <v/>
      </c>
      <c r="E100" s="65">
        <f>K87</f>
        <v/>
      </c>
      <c r="F100" s="65">
        <f>K92</f>
        <v/>
      </c>
      <c r="G100" s="65">
        <f>SUM(C100:F100)</f>
        <v/>
      </c>
      <c r="H100" s="65">
        <f>G100/60</f>
        <v/>
      </c>
      <c r="I100" s="40" t="inlineStr">
        <is>
          <t>-</t>
        </is>
      </c>
    </row>
    <row r="101">
      <c r="B101" s="40" t="n">
        <v>2</v>
      </c>
      <c r="C101" s="65">
        <f>K78</f>
        <v/>
      </c>
      <c r="D101" s="65">
        <f>K83</f>
        <v/>
      </c>
      <c r="E101" s="65">
        <f>K88</f>
        <v/>
      </c>
      <c r="F101" s="65">
        <f>K93</f>
        <v/>
      </c>
      <c r="G101" s="65">
        <f>SUM(C101:F101)</f>
        <v/>
      </c>
      <c r="H101" s="65">
        <f>G101/60</f>
        <v/>
      </c>
      <c r="I101" s="161">
        <f>H101/H100</f>
        <v/>
      </c>
    </row>
    <row r="102">
      <c r="B102" s="40" t="n">
        <v>3</v>
      </c>
      <c r="C102" s="65">
        <f>K79</f>
        <v/>
      </c>
      <c r="D102" s="65">
        <f>K84</f>
        <v/>
      </c>
      <c r="E102" s="65">
        <f>K89</f>
        <v/>
      </c>
      <c r="F102" s="65">
        <f>K94</f>
        <v/>
      </c>
      <c r="G102" s="65">
        <f>SUM(C102:F102)</f>
        <v/>
      </c>
      <c r="H102" s="65">
        <f>G102/60</f>
        <v/>
      </c>
      <c r="I102" s="161">
        <f>H102/H101</f>
        <v/>
      </c>
    </row>
    <row r="103">
      <c r="B103" s="40" t="n">
        <v>4</v>
      </c>
      <c r="C103" s="65">
        <f>K80</f>
        <v/>
      </c>
      <c r="D103" s="65">
        <f>K85</f>
        <v/>
      </c>
      <c r="E103" s="65">
        <f>K90</f>
        <v/>
      </c>
      <c r="F103" s="65">
        <f>K95</f>
        <v/>
      </c>
      <c r="G103" s="65">
        <f>SUM(C103:F103)</f>
        <v/>
      </c>
      <c r="H103" s="65">
        <f>G103/60</f>
        <v/>
      </c>
      <c r="I103" s="161">
        <f>H103/H102</f>
        <v/>
      </c>
    </row>
    <row r="104">
      <c r="B104" s="40" t="n">
        <v>5</v>
      </c>
      <c r="C104" s="65">
        <f>K81</f>
        <v/>
      </c>
      <c r="D104" s="65">
        <f>K86</f>
        <v/>
      </c>
      <c r="E104" s="65">
        <f>K91</f>
        <v/>
      </c>
      <c r="F104" s="65">
        <f>K96</f>
        <v/>
      </c>
      <c r="G104" s="65">
        <f>SUM(C104:F104)</f>
        <v/>
      </c>
      <c r="H104" s="65">
        <f>G104/60</f>
        <v/>
      </c>
      <c r="I104" s="161">
        <f>H104/H103</f>
        <v/>
      </c>
    </row>
    <row r="106">
      <c r="B106" s="127" t="inlineStr">
        <is>
          <t>📊 딜 비중표 (%) — 3번 스킬셋</t>
        </is>
      </c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5" t="n"/>
    </row>
    <row r="107">
      <c r="B107" s="122" t="inlineStr">
        <is>
          <t>레벨</t>
        </is>
      </c>
      <c r="C107" s="122" t="inlineStr">
        <is>
          <t>Q</t>
        </is>
      </c>
      <c r="D107" s="122" t="inlineStr">
        <is>
          <t>W</t>
        </is>
      </c>
      <c r="E107" s="122" t="inlineStr">
        <is>
          <t>E</t>
        </is>
      </c>
      <c r="F107" s="122" t="inlineStr">
        <is>
          <t>R</t>
        </is>
      </c>
    </row>
    <row r="108">
      <c r="B108" s="67" t="n">
        <v>1</v>
      </c>
      <c r="C108" s="162">
        <f>C100/G100</f>
        <v/>
      </c>
      <c r="D108" s="162">
        <f>D100/G100</f>
        <v/>
      </c>
      <c r="E108" s="162">
        <f>E100/G100</f>
        <v/>
      </c>
      <c r="F108" s="162">
        <f>F100/G100</f>
        <v/>
      </c>
    </row>
    <row r="109">
      <c r="B109" s="67" t="n">
        <v>2</v>
      </c>
      <c r="C109" s="162">
        <f>C101/G101</f>
        <v/>
      </c>
      <c r="D109" s="162">
        <f>D101/G101</f>
        <v/>
      </c>
      <c r="E109" s="162">
        <f>E101/G101</f>
        <v/>
      </c>
      <c r="F109" s="162">
        <f>F101/G101</f>
        <v/>
      </c>
    </row>
    <row r="110">
      <c r="B110" s="67" t="n">
        <v>3</v>
      </c>
      <c r="C110" s="162">
        <f>C102/G102</f>
        <v/>
      </c>
      <c r="D110" s="162">
        <f>D102/G102</f>
        <v/>
      </c>
      <c r="E110" s="162">
        <f>E102/G102</f>
        <v/>
      </c>
      <c r="F110" s="162">
        <f>F102/G102</f>
        <v/>
      </c>
    </row>
    <row r="111">
      <c r="B111" s="67" t="n">
        <v>4</v>
      </c>
      <c r="C111" s="162">
        <f>C103/G103</f>
        <v/>
      </c>
      <c r="D111" s="162">
        <f>D103/G103</f>
        <v/>
      </c>
      <c r="E111" s="162">
        <f>E103/G103</f>
        <v/>
      </c>
      <c r="F111" s="162">
        <f>F103/G103</f>
        <v/>
      </c>
    </row>
    <row r="112">
      <c r="B112" s="67" t="n">
        <v>5</v>
      </c>
      <c r="C112" s="162">
        <f>C104/G104</f>
        <v/>
      </c>
      <c r="D112" s="162">
        <f>D104/G104</f>
        <v/>
      </c>
      <c r="E112" s="162">
        <f>E104/G104</f>
        <v/>
      </c>
      <c r="F112" s="162">
        <f>F104/G104</f>
        <v/>
      </c>
    </row>
    <row r="114">
      <c r="B114" s="127" t="inlineStr">
        <is>
          <t>💧 마나 소모량 (1분 기준) — 3번 스킬셋</t>
        </is>
      </c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5" t="n"/>
    </row>
    <row r="115">
      <c r="B115" s="122" t="inlineStr">
        <is>
          <t>레벨</t>
        </is>
      </c>
      <c r="C115" s="122" t="inlineStr">
        <is>
          <t>Q</t>
        </is>
      </c>
      <c r="D115" s="122" t="inlineStr">
        <is>
          <t>W</t>
        </is>
      </c>
      <c r="E115" s="122" t="inlineStr">
        <is>
          <t>E</t>
        </is>
      </c>
      <c r="F115" s="122" t="inlineStr">
        <is>
          <t>R</t>
        </is>
      </c>
      <c r="G115" s="122" t="inlineStr">
        <is>
          <t>합계</t>
        </is>
      </c>
      <c r="H115" s="122" t="inlineStr">
        <is>
          <t>증가율</t>
        </is>
      </c>
    </row>
    <row r="116">
      <c r="B116" s="67" t="n">
        <v>1</v>
      </c>
      <c r="C116" s="69">
        <f>L77</f>
        <v/>
      </c>
      <c r="D116" s="69">
        <f>L82</f>
        <v/>
      </c>
      <c r="E116" s="69">
        <f>L87</f>
        <v/>
      </c>
      <c r="F116" s="69">
        <f>L92</f>
        <v/>
      </c>
      <c r="G116" s="69">
        <f>SUM(C116:F116)</f>
        <v/>
      </c>
      <c r="H116" s="67" t="inlineStr">
        <is>
          <t>-</t>
        </is>
      </c>
    </row>
    <row r="117">
      <c r="B117" s="67" t="n">
        <v>2</v>
      </c>
      <c r="C117" s="69">
        <f>L78</f>
        <v/>
      </c>
      <c r="D117" s="69">
        <f>L83</f>
        <v/>
      </c>
      <c r="E117" s="69">
        <f>L88</f>
        <v/>
      </c>
      <c r="F117" s="69">
        <f>L93</f>
        <v/>
      </c>
      <c r="G117" s="69">
        <f>SUM(C117:F117)</f>
        <v/>
      </c>
      <c r="H117" s="162">
        <f>G117/G116</f>
        <v/>
      </c>
    </row>
    <row r="118">
      <c r="B118" s="67" t="n">
        <v>3</v>
      </c>
      <c r="C118" s="69">
        <f>L79</f>
        <v/>
      </c>
      <c r="D118" s="69">
        <f>L84</f>
        <v/>
      </c>
      <c r="E118" s="69">
        <f>L89</f>
        <v/>
      </c>
      <c r="F118" s="69">
        <f>L94</f>
        <v/>
      </c>
      <c r="G118" s="69">
        <f>SUM(C118:F118)</f>
        <v/>
      </c>
      <c r="H118" s="162">
        <f>G118/G117</f>
        <v/>
      </c>
    </row>
    <row r="119">
      <c r="B119" s="67" t="n">
        <v>4</v>
      </c>
      <c r="C119" s="69">
        <f>L80</f>
        <v/>
      </c>
      <c r="D119" s="69">
        <f>L85</f>
        <v/>
      </c>
      <c r="E119" s="69">
        <f>L90</f>
        <v/>
      </c>
      <c r="F119" s="69">
        <f>L95</f>
        <v/>
      </c>
      <c r="G119" s="69">
        <f>SUM(C119:F119)</f>
        <v/>
      </c>
      <c r="H119" s="162">
        <f>G119/G118</f>
        <v/>
      </c>
    </row>
    <row r="120">
      <c r="B120" s="67" t="n">
        <v>5</v>
      </c>
      <c r="C120" s="69">
        <f>L81</f>
        <v/>
      </c>
      <c r="D120" s="69">
        <f>L86</f>
        <v/>
      </c>
      <c r="E120" s="69">
        <f>L91</f>
        <v/>
      </c>
      <c r="F120" s="69">
        <f>L96</f>
        <v/>
      </c>
      <c r="G120" s="69">
        <f>SUM(C120:F120)</f>
        <v/>
      </c>
      <c r="H120" s="162">
        <f>G120/G119</f>
        <v/>
      </c>
    </row>
    <row r="122">
      <c r="B122" s="127" t="inlineStr">
        <is>
          <t>📈 스킬 분석 차트 — 3번 스킬셋</t>
        </is>
      </c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5" t="n"/>
    </row>
    <row r="146">
      <c r="B146" s="118" t="inlineStr">
        <is>
          <t>⚡ 버프 효과 환산 — 3번 스킬셋  (공속 단위: 천분률, 1000=100%)</t>
        </is>
      </c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5" t="n"/>
    </row>
    <row r="147" ht="30" customHeight="1" s="133">
      <c r="B147" s="130" t="inlineStr">
        <is>
          <t>스킬</t>
        </is>
      </c>
      <c r="C147" s="130" t="inlineStr">
        <is>
          <t>레벨</t>
        </is>
      </c>
      <c r="D147" s="130" t="inlineStr">
        <is>
          <t>쿨타임</t>
        </is>
      </c>
      <c r="E147" s="130" t="inlineStr">
        <is>
          <t>지속</t>
        </is>
      </c>
      <c r="F147" s="130" t="inlineStr">
        <is>
          <t>업타임</t>
        </is>
      </c>
      <c r="G147" s="130" t="inlineStr">
        <is>
          <t>공속 기여(평타DPS×)</t>
        </is>
      </c>
      <c r="H147" s="130" t="inlineStr">
        <is>
          <t>치명 기여(critMult+)</t>
        </is>
      </c>
      <c r="I147" s="130" t="inlineStr">
        <is>
          <t>종합 DPS 기여 추정</t>
        </is>
      </c>
      <c r="J147" s="114" t="n"/>
      <c r="K147" s="114" t="n"/>
      <c r="L147" s="114" t="n"/>
      <c r="M147" s="115" t="n"/>
    </row>
    <row r="148" ht="15.95" customHeight="1" s="133">
      <c r="B148" s="128" t="inlineStr">
        <is>
          <t>W  무기 연마</t>
        </is>
      </c>
      <c r="C148" s="71" t="n">
        <v>1</v>
      </c>
      <c r="D148" s="71" t="inlineStr">
        <is>
          <t>10s</t>
        </is>
      </c>
      <c r="E148" s="71" t="inlineStr">
        <is>
          <t>3s</t>
        </is>
      </c>
      <c r="F148" s="71" t="inlineStr">
        <is>
          <t>30%</t>
        </is>
      </c>
      <c r="G148" s="71" t="inlineStr">
        <is>
          <t>-</t>
        </is>
      </c>
      <c r="H148" s="71" t="inlineStr">
        <is>
          <t>-</t>
        </is>
      </c>
      <c r="I148" s="128" t="inlineStr">
        <is>
          <t>스킬 외부 수치 미확인</t>
        </is>
      </c>
      <c r="J148" s="114" t="n"/>
      <c r="K148" s="114" t="n"/>
      <c r="L148" s="114" t="n"/>
      <c r="M148" s="115" t="n"/>
    </row>
    <row r="149" ht="15.95" customHeight="1" s="133">
      <c r="B149" s="128" t="n"/>
      <c r="C149" s="71" t="n">
        <v>2</v>
      </c>
      <c r="D149" s="71" t="inlineStr">
        <is>
          <t>10s</t>
        </is>
      </c>
      <c r="E149" s="71" t="inlineStr">
        <is>
          <t>3s</t>
        </is>
      </c>
      <c r="F149" s="71" t="inlineStr">
        <is>
          <t>30%</t>
        </is>
      </c>
      <c r="G149" s="71" t="inlineStr">
        <is>
          <t>-</t>
        </is>
      </c>
      <c r="H149" s="71" t="inlineStr">
        <is>
          <t>-</t>
        </is>
      </c>
      <c r="I149" s="128" t="inlineStr">
        <is>
          <t>스킬 외부 수치 미확인</t>
        </is>
      </c>
      <c r="J149" s="114" t="n"/>
      <c r="K149" s="114" t="n"/>
      <c r="L149" s="114" t="n"/>
      <c r="M149" s="115" t="n"/>
    </row>
    <row r="150" ht="15.95" customHeight="1" s="133">
      <c r="B150" s="128" t="n"/>
      <c r="C150" s="71" t="n">
        <v>3</v>
      </c>
      <c r="D150" s="71" t="inlineStr">
        <is>
          <t>10s</t>
        </is>
      </c>
      <c r="E150" s="71" t="inlineStr">
        <is>
          <t>3s</t>
        </is>
      </c>
      <c r="F150" s="71" t="inlineStr">
        <is>
          <t>30%</t>
        </is>
      </c>
      <c r="G150" s="71" t="inlineStr">
        <is>
          <t>-</t>
        </is>
      </c>
      <c r="H150" s="71" t="inlineStr">
        <is>
          <t>-</t>
        </is>
      </c>
      <c r="I150" s="128" t="inlineStr">
        <is>
          <t>스킬 외부 수치 미확인</t>
        </is>
      </c>
      <c r="J150" s="114" t="n"/>
      <c r="K150" s="114" t="n"/>
      <c r="L150" s="114" t="n"/>
      <c r="M150" s="115" t="n"/>
    </row>
    <row r="151" ht="15.95" customHeight="1" s="133">
      <c r="B151" s="128" t="n"/>
      <c r="C151" s="71" t="n">
        <v>4</v>
      </c>
      <c r="D151" s="71" t="inlineStr">
        <is>
          <t>10s</t>
        </is>
      </c>
      <c r="E151" s="71" t="inlineStr">
        <is>
          <t>3s</t>
        </is>
      </c>
      <c r="F151" s="71" t="inlineStr">
        <is>
          <t>30%</t>
        </is>
      </c>
      <c r="G151" s="71" t="inlineStr">
        <is>
          <t>-</t>
        </is>
      </c>
      <c r="H151" s="71" t="inlineStr">
        <is>
          <t>-</t>
        </is>
      </c>
      <c r="I151" s="128" t="inlineStr">
        <is>
          <t>스킬 외부 수치 미확인</t>
        </is>
      </c>
      <c r="J151" s="114" t="n"/>
      <c r="K151" s="114" t="n"/>
      <c r="L151" s="114" t="n"/>
      <c r="M151" s="115" t="n"/>
    </row>
    <row r="152" ht="15.95" customHeight="1" s="133">
      <c r="B152" s="128" t="n"/>
      <c r="C152" s="71" t="n">
        <v>5</v>
      </c>
      <c r="D152" s="71" t="inlineStr">
        <is>
          <t>10s</t>
        </is>
      </c>
      <c r="E152" s="71" t="inlineStr">
        <is>
          <t>3s</t>
        </is>
      </c>
      <c r="F152" s="71" t="inlineStr">
        <is>
          <t>30%</t>
        </is>
      </c>
      <c r="G152" s="71" t="inlineStr">
        <is>
          <t>-</t>
        </is>
      </c>
      <c r="H152" s="71" t="inlineStr">
        <is>
          <t>-</t>
        </is>
      </c>
      <c r="I152" s="128" t="inlineStr">
        <is>
          <t>스킬 외부 수치 미확인</t>
        </is>
      </c>
      <c r="J152" s="114" t="n"/>
      <c r="K152" s="114" t="n"/>
      <c r="L152" s="114" t="n"/>
      <c r="M152" s="115" t="n"/>
    </row>
    <row r="153" ht="15.95" customHeight="1" s="133">
      <c r="B153" s="129" t="inlineStr">
        <is>
          <t>R  암살자의 분노</t>
        </is>
      </c>
      <c r="C153" s="73" t="n">
        <v>1</v>
      </c>
      <c r="D153" s="73" t="inlineStr">
        <is>
          <t>40s</t>
        </is>
      </c>
      <c r="E153" s="73" t="inlineStr">
        <is>
          <t>15s</t>
        </is>
      </c>
      <c r="F153" s="73" t="inlineStr">
        <is>
          <t>38%</t>
        </is>
      </c>
      <c r="G153" s="73" t="inlineStr">
        <is>
          <t>×1.19  (+19%)</t>
        </is>
      </c>
      <c r="H153" s="73" t="inlineStr">
        <is>
          <t>+5.6%  (버프시 +15.0%)</t>
        </is>
      </c>
      <c r="I153" s="129" t="inlineStr">
        <is>
          <t>평타+19% / 치명+5.6%</t>
        </is>
      </c>
      <c r="J153" s="114" t="n"/>
      <c r="K153" s="114" t="n"/>
      <c r="L153" s="114" t="n"/>
      <c r="M153" s="115" t="n"/>
    </row>
    <row r="154" ht="15.95" customHeight="1" s="133">
      <c r="B154" s="129" t="n"/>
      <c r="C154" s="73" t="n">
        <v>2</v>
      </c>
      <c r="D154" s="73" t="inlineStr">
        <is>
          <t>38s</t>
        </is>
      </c>
      <c r="E154" s="73" t="inlineStr">
        <is>
          <t>15s</t>
        </is>
      </c>
      <c r="F154" s="73" t="inlineStr">
        <is>
          <t>39%</t>
        </is>
      </c>
      <c r="G154" s="73" t="inlineStr">
        <is>
          <t>×1.20  (+20%)</t>
        </is>
      </c>
      <c r="H154" s="73" t="inlineStr">
        <is>
          <t>+6.5%  (버프시 +16.5%)</t>
        </is>
      </c>
      <c r="I154" s="129" t="inlineStr">
        <is>
          <t>평타+20% / 치명+6.5%</t>
        </is>
      </c>
      <c r="J154" s="114" t="n"/>
      <c r="K154" s="114" t="n"/>
      <c r="L154" s="114" t="n"/>
      <c r="M154" s="115" t="n"/>
    </row>
    <row r="155" ht="15.95" customHeight="1" s="133">
      <c r="B155" s="129" t="n"/>
      <c r="C155" s="73" t="n">
        <v>3</v>
      </c>
      <c r="D155" s="73" t="inlineStr">
        <is>
          <t>36s</t>
        </is>
      </c>
      <c r="E155" s="73" t="inlineStr">
        <is>
          <t>15s</t>
        </is>
      </c>
      <c r="F155" s="73" t="inlineStr">
        <is>
          <t>42%</t>
        </is>
      </c>
      <c r="G155" s="73" t="inlineStr">
        <is>
          <t>×1.21  (+21%)</t>
        </is>
      </c>
      <c r="H155" s="73" t="inlineStr">
        <is>
          <t>+7.5%  (버프시 +18.0%)</t>
        </is>
      </c>
      <c r="I155" s="129" t="inlineStr">
        <is>
          <t>평타+21% / 치명+7.5%</t>
        </is>
      </c>
      <c r="J155" s="114" t="n"/>
      <c r="K155" s="114" t="n"/>
      <c r="L155" s="114" t="n"/>
      <c r="M155" s="115" t="n"/>
    </row>
    <row r="156" ht="15.95" customHeight="1" s="133">
      <c r="B156" s="129" t="n"/>
      <c r="C156" s="73" t="n">
        <v>4</v>
      </c>
      <c r="D156" s="73" t="inlineStr">
        <is>
          <t>34s</t>
        </is>
      </c>
      <c r="E156" s="73" t="inlineStr">
        <is>
          <t>15s</t>
        </is>
      </c>
      <c r="F156" s="73" t="inlineStr">
        <is>
          <t>44%</t>
        </is>
      </c>
      <c r="G156" s="73" t="inlineStr">
        <is>
          <t>×1.22  (+22%)</t>
        </is>
      </c>
      <c r="H156" s="73" t="inlineStr">
        <is>
          <t>+8.6%  (버프시 +19.5%)</t>
        </is>
      </c>
      <c r="I156" s="129" t="inlineStr">
        <is>
          <t>평타+22% / 치명+8.6%</t>
        </is>
      </c>
      <c r="J156" s="114" t="n"/>
      <c r="K156" s="114" t="n"/>
      <c r="L156" s="114" t="n"/>
      <c r="M156" s="115" t="n"/>
    </row>
    <row r="157" ht="15.95" customHeight="1" s="133">
      <c r="B157" s="129" t="n"/>
      <c r="C157" s="73" t="n">
        <v>5</v>
      </c>
      <c r="D157" s="73" t="inlineStr">
        <is>
          <t>32s</t>
        </is>
      </c>
      <c r="E157" s="73" t="inlineStr">
        <is>
          <t>15s</t>
        </is>
      </c>
      <c r="F157" s="73" t="inlineStr">
        <is>
          <t>47%</t>
        </is>
      </c>
      <c r="G157" s="73" t="inlineStr">
        <is>
          <t>×1.23  (+23%)</t>
        </is>
      </c>
      <c r="H157" s="73" t="inlineStr">
        <is>
          <t>+9.8%  (버프시 +21.0%)</t>
        </is>
      </c>
      <c r="I157" s="129" t="inlineStr">
        <is>
          <t>평타+23% / 치명+9.8%</t>
        </is>
      </c>
      <c r="J157" s="114" t="n"/>
      <c r="K157" s="114" t="n"/>
      <c r="L157" s="114" t="n"/>
      <c r="M157" s="115" t="n"/>
    </row>
    <row r="158" ht="14.1" customHeight="1" s="133">
      <c r="B158" s="131" t="inlineStr">
        <is>
          <t>※ 공속 기여: 평타 DPS × (1 + 업타임 × 공속/1000)  |  치명 기여: 업타임 × (치명률/1000) × (치명피해/1000)  |  base 치명률=0 가정  |  스킬 데미지는 별도 (위 DPS 표 참조)</t>
        </is>
      </c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5" t="n"/>
    </row>
    <row r="160">
      <c r="B160" s="119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5" t="n"/>
    </row>
  </sheetData>
  <mergeCells count="43">
    <mergeCell ref="I149:M149"/>
    <mergeCell ref="B2:M2"/>
    <mergeCell ref="B106:L106"/>
    <mergeCell ref="B11:M11"/>
    <mergeCell ref="E40:M40"/>
    <mergeCell ref="E9:M9"/>
    <mergeCell ref="I151:M151"/>
    <mergeCell ref="E69:M69"/>
    <mergeCell ref="B1:M1"/>
    <mergeCell ref="I154:M154"/>
    <mergeCell ref="B122:L122"/>
    <mergeCell ref="E6:M6"/>
    <mergeCell ref="B34:M34"/>
    <mergeCell ref="B146:M146"/>
    <mergeCell ref="I156:M156"/>
    <mergeCell ref="I147:M147"/>
    <mergeCell ref="E70:M70"/>
    <mergeCell ref="I150:M150"/>
    <mergeCell ref="B98:L98"/>
    <mergeCell ref="B68:M68"/>
    <mergeCell ref="B158:M158"/>
    <mergeCell ref="E7:M7"/>
    <mergeCell ref="E72:M72"/>
    <mergeCell ref="E41:M41"/>
    <mergeCell ref="I152:M152"/>
    <mergeCell ref="E37:M37"/>
    <mergeCell ref="I155:M155"/>
    <mergeCell ref="B160:M160"/>
    <mergeCell ref="B36:M36"/>
    <mergeCell ref="B4:M4"/>
    <mergeCell ref="B75:M75"/>
    <mergeCell ref="I148:M148"/>
    <mergeCell ref="I157:M157"/>
    <mergeCell ref="I153:M153"/>
    <mergeCell ref="E71:M71"/>
    <mergeCell ref="E5:M5"/>
    <mergeCell ref="B66:M66"/>
    <mergeCell ref="E39:M39"/>
    <mergeCell ref="E8:M8"/>
    <mergeCell ref="B114:L114"/>
    <mergeCell ref="E73:M73"/>
    <mergeCell ref="B43:M43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09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6" customWidth="1" style="133" min="2" max="2"/>
    <col width="5" customWidth="1" style="133" min="3" max="3"/>
    <col width="9" customWidth="1" style="133" min="4" max="5"/>
    <col width="13" customWidth="1" style="133" min="5" max="5"/>
    <col width="14" customWidth="1" style="133" min="6" max="6"/>
    <col width="12" customWidth="1" style="133" min="7" max="7"/>
    <col width="36" customWidth="1" style="133" min="8" max="8"/>
    <col width="9" customWidth="1" style="133" min="9" max="10"/>
    <col width="13" customWidth="1" style="133" min="10" max="10"/>
    <col width="12" customWidth="1" style="133" min="11" max="12"/>
    <col width="13" customWidth="1" style="133" min="12" max="12"/>
  </cols>
  <sheetData>
    <row r="1" ht="30" customHeight="1" s="133">
      <c r="B1" s="136" t="inlineStr">
        <is>
          <t>X7  활  스킬 밸런스</t>
        </is>
      </c>
    </row>
    <row r="2" ht="18" customHeight="1" s="133">
      <c r="B2" s="132" t="inlineStr">
        <is>
          <t>무기 컨셉: 원거리 저격·함정(1T) / 아군 지원·기동(2T) / 미구현(3T)  ·  CC 연쇄와 다중 발사체로 딜링+견제 동시 수행</t>
        </is>
      </c>
    </row>
    <row r="3" ht="8.1" customHeight="1" s="133"/>
    <row r="4" ht="21.95" customHeight="1" s="133">
      <c r="B4" s="84" t="inlineStr">
        <is>
          <t>▶ 1번 스킬셋  |  Lv.1 데이터만 확보 (Lv.2~5 편집 필요)</t>
        </is>
      </c>
    </row>
    <row r="5" ht="15.95" customHeight="1" s="133">
      <c r="B5" s="85" t="inlineStr">
        <is>
          <t>GroupId 300401~300551  ·  Q 저격 CC 연쇄(느려짐→기절)  ·  R 폭탄화살 최고 계수 1000%</t>
        </is>
      </c>
    </row>
    <row r="6"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</row>
    <row r="7">
      <c r="B7" s="86" t="inlineStr">
        <is>
          <t>커맨드</t>
        </is>
      </c>
      <c r="C7" s="86" t="inlineStr">
        <is>
          <t>스킬명</t>
        </is>
      </c>
      <c r="D7" s="86" t="inlineStr">
        <is>
          <t>유형</t>
        </is>
      </c>
      <c r="E7" s="86" t="inlineStr">
        <is>
          <t>설명</t>
        </is>
      </c>
      <c r="F7" s="86" t="n"/>
      <c r="G7" s="86" t="n"/>
      <c r="H7" s="86" t="n"/>
      <c r="I7" s="86" t="n"/>
      <c r="J7" s="86" t="n"/>
      <c r="K7" s="86" t="n"/>
      <c r="L7" s="86" t="n"/>
    </row>
    <row r="8">
      <c r="B8" s="86" t="inlineStr">
        <is>
          <t>Q</t>
        </is>
      </c>
      <c r="C8" s="86" t="inlineStr">
        <is>
          <t>저격</t>
        </is>
      </c>
      <c r="D8" s="86" t="inlineStr">
        <is>
          <t>방향 투사체</t>
        </is>
      </c>
      <c r="E8" s="86" t="inlineStr">
        <is>
          <t>저격으로 단일 대상에게 피해를 입힙니다. 느려짐 → 기절 연쇄 / 기절 대상 추가 25%</t>
        </is>
      </c>
      <c r="F8" s="86" t="n"/>
      <c r="G8" s="86" t="n"/>
      <c r="H8" s="86" t="n"/>
      <c r="I8" s="86" t="n"/>
      <c r="J8" s="86" t="n"/>
      <c r="K8" s="86" t="n"/>
      <c r="L8" s="86" t="n"/>
    </row>
    <row r="9">
      <c r="B9" s="86" t="inlineStr">
        <is>
          <t>W</t>
        </is>
      </c>
      <c r="C9" s="86" t="inlineStr">
        <is>
          <t>부채 사격</t>
        </is>
      </c>
      <c r="D9" s="86" t="inlineStr">
        <is>
          <t>방향 범위</t>
        </is>
      </c>
      <c r="E9" s="86" t="inlineStr">
        <is>
          <t>부채꼴 범위로 화살을 쏩니다. 느려짐 + 밀어냄</t>
        </is>
      </c>
      <c r="F9" s="86" t="n"/>
      <c r="G9" s="86" t="n"/>
      <c r="H9" s="86" t="n"/>
      <c r="I9" s="86" t="n"/>
      <c r="J9" s="86" t="n"/>
      <c r="K9" s="86" t="n"/>
      <c r="L9" s="86" t="n"/>
    </row>
    <row r="10">
      <c r="B10" s="86" t="inlineStr">
        <is>
          <t>E</t>
        </is>
      </c>
      <c r="C10" s="86" t="inlineStr">
        <is>
          <t>불화살 소나기</t>
        </is>
      </c>
      <c r="D10" s="86" t="inlineStr">
        <is>
          <t>위치지정 범위</t>
        </is>
      </c>
      <c r="E10" s="86" t="inlineStr">
        <is>
          <t>지정 위치에 불화살을 5발 퍼붓습니다. 60%×5발</t>
        </is>
      </c>
      <c r="F10" s="86" t="n"/>
      <c r="G10" s="86" t="n"/>
      <c r="H10" s="86" t="n"/>
      <c r="I10" s="86" t="n"/>
      <c r="J10" s="86" t="n"/>
      <c r="K10" s="86" t="n"/>
      <c r="L10" s="86" t="n"/>
    </row>
    <row r="11" ht="18" customHeight="1" s="133">
      <c r="B11" s="87" t="inlineStr">
        <is>
          <t>R</t>
        </is>
      </c>
      <c r="C11" s="87" t="inlineStr">
        <is>
          <t>폭탄 화살</t>
        </is>
      </c>
      <c r="D11" s="87" t="inlineStr">
        <is>
          <t>방향 공격</t>
        </is>
      </c>
      <c r="E11" s="87" t="inlineStr">
        <is>
          <t>폭탄 화살을 발사하여 강력한 피해를 입힙니다. 500%×2 / 기절</t>
        </is>
      </c>
      <c r="F11" s="87" t="n"/>
      <c r="G11" s="87" t="n"/>
      <c r="H11" s="87" t="n"/>
      <c r="I11" s="87" t="n"/>
      <c r="J11" s="87" t="n"/>
      <c r="K11" s="87" t="n"/>
      <c r="L11" s="87" t="n"/>
    </row>
    <row r="12" ht="15.95" customHeight="1" s="133">
      <c r="B12" s="88" t="n"/>
      <c r="C12" s="88" t="n"/>
      <c r="D12" s="88" t="n"/>
      <c r="E12" s="88" t="n"/>
      <c r="F12" s="88" t="n"/>
      <c r="G12" s="88" t="n"/>
      <c r="H12" s="89" t="n"/>
      <c r="I12" s="88" t="n"/>
      <c r="J12" s="88" t="n"/>
      <c r="K12" s="88" t="n"/>
      <c r="L12" s="88" t="n"/>
    </row>
    <row r="13" ht="15.95" customHeight="1" s="133">
      <c r="B13" s="174" t="inlineStr">
        <is>
          <t>⚔️ 스킬 강화 정보 — 1번 스킬셋</t>
        </is>
      </c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</row>
    <row r="14" ht="15.95" customHeight="1" s="133">
      <c r="B14" s="175" t="inlineStr">
        <is>
          <t>커맨드</t>
        </is>
      </c>
      <c r="C14" s="175" t="inlineStr">
        <is>
          <t>레벨</t>
        </is>
      </c>
      <c r="D14" s="175" t="inlineStr">
        <is>
          <t>쿨타임(s)</t>
        </is>
      </c>
      <c r="E14" s="175" t="inlineStr">
        <is>
          <t>마나소모</t>
        </is>
      </c>
      <c r="F14" s="175" t="inlineStr">
        <is>
          <t>공격유형</t>
        </is>
      </c>
      <c r="G14" s="175" t="inlineStr">
        <is>
          <t>피해량(배율)</t>
        </is>
      </c>
      <c r="H14" s="175" t="inlineStr">
        <is>
          <t>버프/디버프</t>
        </is>
      </c>
      <c r="I14" s="175" t="inlineStr">
        <is>
          <t>DPS</t>
        </is>
      </c>
      <c r="J14" s="175" t="inlineStr">
        <is>
          <t>분당횟수</t>
        </is>
      </c>
      <c r="K14" s="175" t="inlineStr">
        <is>
          <t>1분누적피해</t>
        </is>
      </c>
      <c r="L14" s="175" t="inlineStr">
        <is>
          <t>1분마나소모</t>
        </is>
      </c>
    </row>
    <row r="15" ht="15.95" customHeight="1" s="133">
      <c r="B15" s="176" t="inlineStr">
        <is>
          <t>Q</t>
        </is>
      </c>
      <c r="C15" s="177" t="n">
        <v>1</v>
      </c>
      <c r="D15" s="177" t="n">
        <v>5</v>
      </c>
      <c r="E15" s="177" t="n">
        <v>30</v>
      </c>
      <c r="F15" s="177" t="inlineStr">
        <is>
          <t>방향 투사체</t>
        </is>
      </c>
      <c r="G15" s="177" t="n">
        <v>1.65</v>
      </c>
      <c r="H15" s="177" t="inlineStr">
        <is>
          <t>느려짐 → 기절 연쇄 / 기절 대상 추가 25%</t>
        </is>
      </c>
      <c r="I15" s="177">
        <f>G15/(D15+1)</f>
        <v/>
      </c>
      <c r="J15" s="177">
        <f>60/(D15+1)</f>
        <v/>
      </c>
      <c r="K15" s="177">
        <f>J15*G15</f>
        <v/>
      </c>
      <c r="L15" s="177">
        <f>J15*E15</f>
        <v/>
      </c>
    </row>
    <row r="16" ht="15.95" customHeight="1" s="133">
      <c r="B16" s="33" t="n"/>
      <c r="C16" s="34" t="n">
        <v>2</v>
      </c>
      <c r="D16" s="34" t="n">
        <v>5</v>
      </c>
      <c r="E16" s="34" t="n">
        <v>30</v>
      </c>
      <c r="F16" s="34" t="inlineStr">
        <is>
          <t>방향 투사체</t>
        </is>
      </c>
      <c r="G16" s="34" t="n">
        <v>1.65</v>
      </c>
      <c r="H16" s="34" t="inlineStr">
        <is>
          <t>Lv.2~5 편집 필요</t>
        </is>
      </c>
      <c r="I16" s="196">
        <f>G16/(D16+1)</f>
        <v/>
      </c>
      <c r="J16" s="196">
        <f>60/(D16+1)</f>
        <v/>
      </c>
      <c r="K16" s="196">
        <f>J16*G16</f>
        <v/>
      </c>
      <c r="L16" s="196">
        <f>J16*E16</f>
        <v/>
      </c>
    </row>
    <row r="17">
      <c r="B17" s="33" t="n"/>
      <c r="C17" s="34" t="n">
        <v>3</v>
      </c>
      <c r="D17" s="34" t="n">
        <v>5</v>
      </c>
      <c r="E17" s="34" t="n">
        <v>30</v>
      </c>
      <c r="F17" s="34" t="inlineStr">
        <is>
          <t>방향 투사체</t>
        </is>
      </c>
      <c r="G17" s="34" t="n">
        <v>1.65</v>
      </c>
      <c r="H17" s="34" t="inlineStr">
        <is>
          <t>Lv.2~5 편집 필요</t>
        </is>
      </c>
      <c r="I17" s="196">
        <f>G17/(D17+1)</f>
        <v/>
      </c>
      <c r="J17" s="196">
        <f>60/(D17+1)</f>
        <v/>
      </c>
      <c r="K17" s="196">
        <f>J17*G17</f>
        <v/>
      </c>
      <c r="L17" s="196">
        <f>J17*E17</f>
        <v/>
      </c>
    </row>
    <row r="18" ht="15.95" customHeight="1" s="133">
      <c r="B18" s="33" t="n"/>
      <c r="C18" s="34" t="n">
        <v>4</v>
      </c>
      <c r="D18" s="34" t="n">
        <v>5</v>
      </c>
      <c r="E18" s="34" t="n">
        <v>30</v>
      </c>
      <c r="F18" s="34" t="inlineStr">
        <is>
          <t>방향 투사체</t>
        </is>
      </c>
      <c r="G18" s="34" t="n">
        <v>1.65</v>
      </c>
      <c r="H18" s="34" t="inlineStr">
        <is>
          <t>Lv.2~5 편집 필요</t>
        </is>
      </c>
      <c r="I18" s="196">
        <f>G18/(D18+1)</f>
        <v/>
      </c>
      <c r="J18" s="196">
        <f>60/(D18+1)</f>
        <v/>
      </c>
      <c r="K18" s="196">
        <f>J18*G18</f>
        <v/>
      </c>
      <c r="L18" s="196">
        <f>J18*E18</f>
        <v/>
      </c>
    </row>
    <row r="19" ht="15.95" customHeight="1" s="133">
      <c r="B19" s="33" t="n"/>
      <c r="C19" s="34" t="n">
        <v>5</v>
      </c>
      <c r="D19" s="34" t="n">
        <v>5</v>
      </c>
      <c r="E19" s="34" t="n">
        <v>30</v>
      </c>
      <c r="F19" s="34" t="inlineStr">
        <is>
          <t>방향 투사체</t>
        </is>
      </c>
      <c r="G19" s="34" t="n">
        <v>1.65</v>
      </c>
      <c r="H19" s="34" t="inlineStr">
        <is>
          <t>Lv.2~5 편집 필요</t>
        </is>
      </c>
      <c r="I19" s="196">
        <f>G19/(D19+1)</f>
        <v/>
      </c>
      <c r="J19" s="196">
        <f>60/(D19+1)</f>
        <v/>
      </c>
      <c r="K19" s="196">
        <f>J19*G19</f>
        <v/>
      </c>
      <c r="L19" s="196">
        <f>J19*E19</f>
        <v/>
      </c>
    </row>
    <row r="20" ht="15.95" customHeight="1" s="133">
      <c r="B20" s="181" t="inlineStr">
        <is>
          <t>W</t>
        </is>
      </c>
      <c r="C20" s="182" t="n">
        <v>1</v>
      </c>
      <c r="D20" s="182" t="n">
        <v>12</v>
      </c>
      <c r="E20" s="182" t="n">
        <v>30</v>
      </c>
      <c r="F20" s="182" t="inlineStr">
        <is>
          <t>방향 범위</t>
        </is>
      </c>
      <c r="G20" s="182" t="n">
        <v>2.25</v>
      </c>
      <c r="H20" s="182" t="inlineStr">
        <is>
          <t>느려짐 + 밀어냄 / 부채꼴 범위</t>
        </is>
      </c>
      <c r="I20" s="182">
        <f>G20/(D20+1)</f>
        <v/>
      </c>
      <c r="J20" s="184">
        <f>60/(D20+1)</f>
        <v/>
      </c>
      <c r="K20" s="182">
        <f>J20*G20</f>
        <v/>
      </c>
      <c r="L20" s="185">
        <f>J20*E20</f>
        <v/>
      </c>
    </row>
    <row r="21" ht="15.95" customHeight="1" s="133">
      <c r="B21" s="38" t="n"/>
      <c r="C21" s="39" t="n">
        <v>2</v>
      </c>
      <c r="D21" s="39" t="n">
        <v>12</v>
      </c>
      <c r="E21" s="39" t="n">
        <v>30</v>
      </c>
      <c r="F21" s="39" t="inlineStr">
        <is>
          <t>방향 범위</t>
        </is>
      </c>
      <c r="G21" s="39" t="n">
        <v>2.25</v>
      </c>
      <c r="H21" s="39" t="inlineStr">
        <is>
          <t>Lv.2~5 편집 필요</t>
        </is>
      </c>
      <c r="I21" s="197">
        <f>G21/(D21+1)</f>
        <v/>
      </c>
      <c r="J21" s="198">
        <f>60/(D21+1)</f>
        <v/>
      </c>
      <c r="K21" s="197">
        <f>J21*G21</f>
        <v/>
      </c>
      <c r="L21" s="199">
        <f>J21*E21</f>
        <v/>
      </c>
    </row>
    <row r="22" ht="15.95" customHeight="1" s="133">
      <c r="B22" s="38" t="n"/>
      <c r="C22" s="39" t="n">
        <v>3</v>
      </c>
      <c r="D22" s="39" t="n">
        <v>12</v>
      </c>
      <c r="E22" s="39" t="n">
        <v>30</v>
      </c>
      <c r="F22" s="39" t="inlineStr">
        <is>
          <t>방향 범위</t>
        </is>
      </c>
      <c r="G22" s="39" t="n">
        <v>2.25</v>
      </c>
      <c r="H22" s="39" t="inlineStr">
        <is>
          <t>Lv.2~5 편집 필요</t>
        </is>
      </c>
      <c r="I22" s="197">
        <f>G22/(D22+1)</f>
        <v/>
      </c>
      <c r="J22" s="198">
        <f>60/(D22+1)</f>
        <v/>
      </c>
      <c r="K22" s="197">
        <f>J22*G22</f>
        <v/>
      </c>
      <c r="L22" s="199">
        <f>J22*E22</f>
        <v/>
      </c>
    </row>
    <row r="23">
      <c r="B23" s="38" t="n"/>
      <c r="C23" s="39" t="n">
        <v>4</v>
      </c>
      <c r="D23" s="39" t="n">
        <v>12</v>
      </c>
      <c r="E23" s="39" t="n">
        <v>30</v>
      </c>
      <c r="F23" s="39" t="inlineStr">
        <is>
          <t>방향 범위</t>
        </is>
      </c>
      <c r="G23" s="39" t="n">
        <v>2.25</v>
      </c>
      <c r="H23" s="39" t="inlineStr">
        <is>
          <t>Lv.2~5 편집 필요</t>
        </is>
      </c>
      <c r="I23" s="197">
        <f>G23/(D23+1)</f>
        <v/>
      </c>
      <c r="J23" s="198">
        <f>60/(D23+1)</f>
        <v/>
      </c>
      <c r="K23" s="197">
        <f>J23*G23</f>
        <v/>
      </c>
      <c r="L23" s="199">
        <f>J23*E23</f>
        <v/>
      </c>
    </row>
    <row r="24" ht="15.95" customHeight="1" s="133">
      <c r="B24" s="38" t="n"/>
      <c r="C24" s="39" t="n">
        <v>5</v>
      </c>
      <c r="D24" s="39" t="n">
        <v>12</v>
      </c>
      <c r="E24" s="39" t="n">
        <v>30</v>
      </c>
      <c r="F24" s="39" t="inlineStr">
        <is>
          <t>방향 범위</t>
        </is>
      </c>
      <c r="G24" s="39" t="n">
        <v>2.25</v>
      </c>
      <c r="H24" s="39" t="inlineStr">
        <is>
          <t>Lv.2~5 편집 필요</t>
        </is>
      </c>
      <c r="I24" s="197">
        <f>G24/(D24+1)</f>
        <v/>
      </c>
      <c r="J24" s="198">
        <f>60/(D24+1)</f>
        <v/>
      </c>
      <c r="K24" s="197">
        <f>J24*G24</f>
        <v/>
      </c>
      <c r="L24" s="199">
        <f>J24*E24</f>
        <v/>
      </c>
    </row>
    <row r="25" ht="15.95" customHeight="1" s="133">
      <c r="B25" s="186" t="inlineStr">
        <is>
          <t>E</t>
        </is>
      </c>
      <c r="C25" s="187" t="n">
        <v>1</v>
      </c>
      <c r="D25" s="187" t="n">
        <v>15</v>
      </c>
      <c r="E25" s="187" t="n">
        <v>30</v>
      </c>
      <c r="F25" s="187" t="inlineStr">
        <is>
          <t>위치지정 범위</t>
        </is>
      </c>
      <c r="G25" s="187" t="n">
        <v>3</v>
      </c>
      <c r="H25" s="187" t="inlineStr">
        <is>
          <t>60%×5발 합산 / Pos 타입</t>
        </is>
      </c>
      <c r="I25" s="187">
        <f>G25/(D25+1)</f>
        <v/>
      </c>
      <c r="J25" s="187">
        <f>60/(D25+1)</f>
        <v/>
      </c>
      <c r="K25" s="187">
        <f>J25*G25</f>
        <v/>
      </c>
      <c r="L25" s="187">
        <f>J25*E25</f>
        <v/>
      </c>
    </row>
    <row r="26" ht="15.95" customHeight="1" s="133">
      <c r="B26" s="44" t="n"/>
      <c r="C26" s="45" t="n">
        <v>2</v>
      </c>
      <c r="D26" s="45" t="n">
        <v>15</v>
      </c>
      <c r="E26" s="45" t="n">
        <v>30</v>
      </c>
      <c r="F26" s="45" t="inlineStr">
        <is>
          <t>위치지정 범위</t>
        </is>
      </c>
      <c r="G26" s="45" t="n">
        <v>3</v>
      </c>
      <c r="H26" s="45" t="inlineStr">
        <is>
          <t>Lv.2~5 편집 필요</t>
        </is>
      </c>
      <c r="I26" s="200">
        <f>G26/(D26+1)</f>
        <v/>
      </c>
      <c r="J26" s="200">
        <f>60/(D26+1)</f>
        <v/>
      </c>
      <c r="K26" s="200">
        <f>J26*G26</f>
        <v/>
      </c>
      <c r="L26" s="200">
        <f>J26*E26</f>
        <v/>
      </c>
    </row>
    <row r="27" ht="15.95" customHeight="1" s="133">
      <c r="B27" s="44" t="n"/>
      <c r="C27" s="45" t="n">
        <v>3</v>
      </c>
      <c r="D27" s="45" t="n">
        <v>15</v>
      </c>
      <c r="E27" s="45" t="n">
        <v>30</v>
      </c>
      <c r="F27" s="45" t="inlineStr">
        <is>
          <t>위치지정 범위</t>
        </is>
      </c>
      <c r="G27" s="45" t="n">
        <v>3</v>
      </c>
      <c r="H27" s="45" t="inlineStr">
        <is>
          <t>Lv.2~5 편집 필요</t>
        </is>
      </c>
      <c r="I27" s="200">
        <f>G27/(D27+1)</f>
        <v/>
      </c>
      <c r="J27" s="200">
        <f>60/(D27+1)</f>
        <v/>
      </c>
      <c r="K27" s="200">
        <f>J27*G27</f>
        <v/>
      </c>
      <c r="L27" s="200">
        <f>J27*E27</f>
        <v/>
      </c>
    </row>
    <row r="28" ht="15.95" customHeight="1" s="133">
      <c r="B28" s="44" t="n"/>
      <c r="C28" s="45" t="n">
        <v>4</v>
      </c>
      <c r="D28" s="45" t="n">
        <v>15</v>
      </c>
      <c r="E28" s="45" t="n">
        <v>30</v>
      </c>
      <c r="F28" s="45" t="inlineStr">
        <is>
          <t>위치지정 범위</t>
        </is>
      </c>
      <c r="G28" s="45" t="n">
        <v>3</v>
      </c>
      <c r="H28" s="45" t="inlineStr">
        <is>
          <t>Lv.2~5 편집 필요</t>
        </is>
      </c>
      <c r="I28" s="200">
        <f>G28/(D28+1)</f>
        <v/>
      </c>
      <c r="J28" s="200">
        <f>60/(D28+1)</f>
        <v/>
      </c>
      <c r="K28" s="200">
        <f>J28*G28</f>
        <v/>
      </c>
      <c r="L28" s="200">
        <f>J28*E28</f>
        <v/>
      </c>
    </row>
    <row r="29">
      <c r="B29" s="44" t="n"/>
      <c r="C29" s="45" t="n">
        <v>5</v>
      </c>
      <c r="D29" s="45" t="n">
        <v>15</v>
      </c>
      <c r="E29" s="45" t="n">
        <v>30</v>
      </c>
      <c r="F29" s="45" t="inlineStr">
        <is>
          <t>위치지정 범위</t>
        </is>
      </c>
      <c r="G29" s="45" t="n">
        <v>3</v>
      </c>
      <c r="H29" s="45" t="inlineStr">
        <is>
          <t>Lv.2~5 편집 필요</t>
        </is>
      </c>
      <c r="I29" s="200">
        <f>G29/(D29+1)</f>
        <v/>
      </c>
      <c r="J29" s="200">
        <f>60/(D29+1)</f>
        <v/>
      </c>
      <c r="K29" s="200">
        <f>J29*G29</f>
        <v/>
      </c>
      <c r="L29" s="200">
        <f>J29*E29</f>
        <v/>
      </c>
    </row>
    <row r="30" ht="15.95" customHeight="1" s="133">
      <c r="B30" s="191" t="inlineStr">
        <is>
          <t>R</t>
        </is>
      </c>
      <c r="C30" s="192" t="n">
        <v>1</v>
      </c>
      <c r="D30" s="192" t="n">
        <v>50</v>
      </c>
      <c r="E30" s="192" t="n">
        <v>100</v>
      </c>
      <c r="F30" s="192" t="inlineStr">
        <is>
          <t>방향 공격</t>
        </is>
      </c>
      <c r="G30" s="192" t="n">
        <v>10</v>
      </c>
      <c r="H30" s="192" t="inlineStr">
        <is>
          <t>기절 / 500%×2 합산 / 최고 단발 계수</t>
        </is>
      </c>
      <c r="I30" s="193">
        <f>G30/(D30+1)</f>
        <v/>
      </c>
      <c r="J30" s="194">
        <f>60/(D30+1)</f>
        <v/>
      </c>
      <c r="K30" s="193">
        <f>J30*G30</f>
        <v/>
      </c>
      <c r="L30" s="195">
        <f>J30*E30</f>
        <v/>
      </c>
    </row>
    <row r="31" ht="15.95" customHeight="1" s="133">
      <c r="B31" s="52" t="n"/>
      <c r="C31" s="53" t="n">
        <v>2</v>
      </c>
      <c r="D31" s="53" t="n">
        <v>50</v>
      </c>
      <c r="E31" s="53" t="n">
        <v>100</v>
      </c>
      <c r="F31" s="53" t="inlineStr">
        <is>
          <t>방향 공격</t>
        </is>
      </c>
      <c r="G31" s="53" t="n">
        <v>10</v>
      </c>
      <c r="H31" s="53" t="inlineStr">
        <is>
          <t>Lv.2~5 편집 필요</t>
        </is>
      </c>
      <c r="I31" s="201">
        <f>G31/(D31+1)</f>
        <v/>
      </c>
      <c r="J31" s="202">
        <f>60/(D31+1)</f>
        <v/>
      </c>
      <c r="K31" s="201">
        <f>J31*G31</f>
        <v/>
      </c>
      <c r="L31" s="203">
        <f>J31*E31</f>
        <v/>
      </c>
    </row>
    <row r="32" ht="15.95" customHeight="1" s="133">
      <c r="B32" s="52" t="n"/>
      <c r="C32" s="53" t="n">
        <v>3</v>
      </c>
      <c r="D32" s="53" t="n">
        <v>50</v>
      </c>
      <c r="E32" s="53" t="n">
        <v>100</v>
      </c>
      <c r="F32" s="53" t="inlineStr">
        <is>
          <t>방향 공격</t>
        </is>
      </c>
      <c r="G32" s="53" t="n">
        <v>10</v>
      </c>
      <c r="H32" s="53" t="inlineStr">
        <is>
          <t>Lv.2~5 편집 필요</t>
        </is>
      </c>
      <c r="I32" s="201">
        <f>G32/(D32+1)</f>
        <v/>
      </c>
      <c r="J32" s="202">
        <f>60/(D32+1)</f>
        <v/>
      </c>
      <c r="K32" s="201">
        <f>J32*G32</f>
        <v/>
      </c>
      <c r="L32" s="203">
        <f>J32*E32</f>
        <v/>
      </c>
    </row>
    <row r="33" ht="15.95" customHeight="1" s="133">
      <c r="B33" s="52" t="n"/>
      <c r="C33" s="53" t="n">
        <v>4</v>
      </c>
      <c r="D33" s="53" t="n">
        <v>50</v>
      </c>
      <c r="E33" s="53" t="n">
        <v>100</v>
      </c>
      <c r="F33" s="53" t="inlineStr">
        <is>
          <t>방향 공격</t>
        </is>
      </c>
      <c r="G33" s="53" t="n">
        <v>10</v>
      </c>
      <c r="H33" s="53" t="inlineStr">
        <is>
          <t>Lv.2~5 편집 필요</t>
        </is>
      </c>
      <c r="I33" s="201">
        <f>G33/(D33+1)</f>
        <v/>
      </c>
      <c r="J33" s="202">
        <f>60/(D33+1)</f>
        <v/>
      </c>
      <c r="K33" s="201">
        <f>J33*G33</f>
        <v/>
      </c>
      <c r="L33" s="203">
        <f>J33*E33</f>
        <v/>
      </c>
    </row>
    <row r="34" ht="15.95" customHeight="1" s="133">
      <c r="B34" s="52" t="n"/>
      <c r="C34" s="53" t="n">
        <v>5</v>
      </c>
      <c r="D34" s="53" t="n">
        <v>50</v>
      </c>
      <c r="E34" s="53" t="n">
        <v>100</v>
      </c>
      <c r="F34" s="53" t="inlineStr">
        <is>
          <t>방향 공격</t>
        </is>
      </c>
      <c r="G34" s="53" t="n">
        <v>10</v>
      </c>
      <c r="H34" s="53" t="inlineStr">
        <is>
          <t>Lv.2~5 편집 필요</t>
        </is>
      </c>
      <c r="I34" s="201">
        <f>G34/(D34+1)</f>
        <v/>
      </c>
      <c r="J34" s="202">
        <f>60/(D34+1)</f>
        <v/>
      </c>
      <c r="K34" s="201">
        <f>J34*G34</f>
        <v/>
      </c>
      <c r="L34" s="203">
        <f>J34*E34</f>
        <v/>
      </c>
    </row>
    <row r="35"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</row>
    <row r="36">
      <c r="B36" t="inlineStr">
        <is>
          <t>※ 피해량 배율 1.0 = ATK×100%  |  노란 셀 = Lv.1 확인 데이터, 연한 셀 = 편집 필요  |  D(쿨타임)·E(마나)·G(피해량) 직접 수정 → 오른쪽 분석 자동 갱신</t>
        </is>
      </c>
    </row>
    <row r="38" ht="21.95" customHeight="1" s="133">
      <c r="B38" s="84" t="inlineStr">
        <is>
          <t>▶ 2번 스킬셋  |  ⚖ 일부 균형 추정값 적용  ·  Lv.1 데이터 확보 (Lv.2~5 편집 필요)</t>
        </is>
      </c>
    </row>
    <row r="39" ht="15.95" customHeight="1" s="133">
      <c r="B39" s="85" t="inlineStr">
        <is>
          <t>GroupId 300601~300751  ·  Q 섬광화살 아군/적 양방향  ·  E 재정비도약 이동스킬(CD없음)</t>
        </is>
      </c>
    </row>
    <row r="40"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</row>
    <row r="41">
      <c r="B41" s="86" t="inlineStr">
        <is>
          <t>커맨드</t>
        </is>
      </c>
      <c r="C41" s="86" t="inlineStr">
        <is>
          <t>스킬명</t>
        </is>
      </c>
      <c r="D41" s="86" t="inlineStr">
        <is>
          <t>유형</t>
        </is>
      </c>
      <c r="E41" s="86" t="inlineStr">
        <is>
          <t>설명</t>
        </is>
      </c>
      <c r="F41" s="86" t="n"/>
      <c r="G41" s="86" t="n"/>
      <c r="H41" s="86" t="n"/>
      <c r="I41" s="86" t="n"/>
      <c r="J41" s="86" t="n"/>
      <c r="K41" s="86" t="n"/>
      <c r="L41" s="86" t="n"/>
    </row>
    <row r="42">
      <c r="B42" s="86" t="inlineStr">
        <is>
          <t>Q</t>
        </is>
      </c>
      <c r="C42" s="86" t="inlineStr">
        <is>
          <t>섬광 화살</t>
        </is>
      </c>
      <c r="D42" s="86" t="inlineStr">
        <is>
          <t>방향 공격</t>
        </is>
      </c>
      <c r="E42" s="86" t="inlineStr">
        <is>
          <t>아군에게는 강화평타 200%+버프, 적에게는 150% 피해를 입힙니다.</t>
        </is>
      </c>
      <c r="F42" s="86" t="n"/>
      <c r="G42" s="86" t="n"/>
      <c r="H42" s="86" t="n"/>
      <c r="I42" s="86" t="n"/>
      <c r="J42" s="86" t="n"/>
      <c r="K42" s="86" t="n"/>
      <c r="L42" s="86" t="n"/>
    </row>
    <row r="43">
      <c r="B43" s="86" t="inlineStr">
        <is>
          <t>W</t>
        </is>
      </c>
      <c r="C43" s="86" t="inlineStr">
        <is>
          <t>천상의 그물</t>
        </is>
      </c>
      <c r="D43" s="86" t="inlineStr">
        <is>
          <t>방향 범위</t>
        </is>
      </c>
      <c r="E43" s="86" t="inlineStr">
        <is>
          <t>광역 그물을 발사하여 적을 느리게 합니다.</t>
        </is>
      </c>
      <c r="F43" s="86" t="n"/>
      <c r="G43" s="86" t="n"/>
      <c r="H43" s="86" t="n"/>
      <c r="I43" s="86" t="n"/>
      <c r="J43" s="86" t="n"/>
      <c r="K43" s="86" t="n"/>
      <c r="L43" s="86" t="n"/>
    </row>
    <row r="44">
      <c r="B44" s="86" t="inlineStr">
        <is>
          <t>E</t>
        </is>
      </c>
      <c r="C44" s="86" t="inlineStr">
        <is>
          <t>재정비 도약</t>
        </is>
      </c>
      <c r="D44" s="86" t="inlineStr">
        <is>
          <t>이동 (서브)</t>
        </is>
      </c>
      <c r="E44" s="86" t="inlineStr">
        <is>
          <t>지정 위치로 도약합니다. 피해 없음 / 이동속도 버프</t>
        </is>
      </c>
      <c r="F44" s="86" t="n"/>
      <c r="G44" s="86" t="n"/>
      <c r="H44" s="86" t="n"/>
      <c r="I44" s="86" t="n"/>
      <c r="J44" s="86" t="n"/>
      <c r="K44" s="86" t="n"/>
      <c r="L44" s="86" t="n"/>
    </row>
    <row r="45" ht="18" customHeight="1" s="133">
      <c r="B45" s="87" t="inlineStr">
        <is>
          <t>R</t>
        </is>
      </c>
      <c r="C45" s="87" t="inlineStr">
        <is>
          <t>금빛 성광</t>
        </is>
      </c>
      <c r="D45" s="87" t="inlineStr">
        <is>
          <t>방향 공격</t>
        </is>
      </c>
      <c r="E45" s="87" t="inlineStr">
        <is>
          <t>캐스팅 1초 후 강력한 광선을 발사합니다. 피격 대상 보호막 부여</t>
        </is>
      </c>
      <c r="F45" s="87" t="n"/>
      <c r="G45" s="87" t="n"/>
      <c r="H45" s="87" t="n"/>
      <c r="I45" s="87" t="n"/>
      <c r="J45" s="87" t="n"/>
      <c r="K45" s="87" t="n"/>
      <c r="L45" s="87" t="n"/>
    </row>
    <row r="46" ht="15.95" customHeight="1" s="133">
      <c r="B46" s="88" t="n"/>
      <c r="C46" s="88" t="n"/>
      <c r="D46" s="88" t="n"/>
      <c r="E46" s="88" t="n"/>
      <c r="F46" s="88" t="n"/>
      <c r="G46" s="88" t="n"/>
      <c r="H46" s="89" t="n"/>
      <c r="I46" s="88" t="n"/>
      <c r="J46" s="88" t="n"/>
      <c r="K46" s="88" t="n"/>
      <c r="L46" s="88" t="n"/>
    </row>
    <row r="47" ht="15.95" customHeight="1" s="133">
      <c r="B47" s="174" t="inlineStr">
        <is>
          <t>⚔️ 스킬 강화 정보 — 2번 스킬셋</t>
        </is>
      </c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</row>
    <row r="48" ht="15.95" customHeight="1" s="133">
      <c r="B48" s="175" t="inlineStr">
        <is>
          <t>커맨드</t>
        </is>
      </c>
      <c r="C48" s="175" t="inlineStr">
        <is>
          <t>레벨</t>
        </is>
      </c>
      <c r="D48" s="175" t="inlineStr">
        <is>
          <t>쿨타임(s)</t>
        </is>
      </c>
      <c r="E48" s="175" t="inlineStr">
        <is>
          <t>마나소모</t>
        </is>
      </c>
      <c r="F48" s="175" t="inlineStr">
        <is>
          <t>공격유형</t>
        </is>
      </c>
      <c r="G48" s="175" t="inlineStr">
        <is>
          <t>피해량(배율)</t>
        </is>
      </c>
      <c r="H48" s="175" t="inlineStr">
        <is>
          <t>버프/디버프</t>
        </is>
      </c>
      <c r="I48" s="175" t="inlineStr">
        <is>
          <t>DPS</t>
        </is>
      </c>
      <c r="J48" s="175" t="inlineStr">
        <is>
          <t>분당횟수</t>
        </is>
      </c>
      <c r="K48" s="175" t="inlineStr">
        <is>
          <t>1분누적피해</t>
        </is>
      </c>
      <c r="L48" s="175" t="inlineStr">
        <is>
          <t>1분마나소모</t>
        </is>
      </c>
    </row>
    <row r="49" ht="15.95" customHeight="1" s="133">
      <c r="B49" s="176" t="inlineStr">
        <is>
          <t>Q</t>
        </is>
      </c>
      <c r="C49" s="177" t="n">
        <v>1</v>
      </c>
      <c r="D49" s="177" t="n">
        <v>4</v>
      </c>
      <c r="E49" s="177" t="n">
        <v>25</v>
      </c>
      <c r="F49" s="177" t="inlineStr">
        <is>
          <t>방향 공격</t>
        </is>
      </c>
      <c r="G49" s="177" t="n">
        <v>1.5</v>
      </c>
      <c r="H49" s="177" t="inlineStr">
        <is>
          <t>아군: 강화평타 200% + 공속·방어 버프 / 적: 150% 피해</t>
        </is>
      </c>
      <c r="I49" s="177">
        <f>G49/(D49+1)</f>
        <v/>
      </c>
      <c r="J49" s="179">
        <f>60/(D49+1)</f>
        <v/>
      </c>
      <c r="K49" s="177">
        <f>J49*G49</f>
        <v/>
      </c>
      <c r="L49" s="180">
        <f>J49*E49</f>
        <v/>
      </c>
    </row>
    <row r="50" ht="15.95" customHeight="1" s="133">
      <c r="B50" s="33" t="n"/>
      <c r="C50" s="34" t="n">
        <v>2</v>
      </c>
      <c r="D50" s="34" t="n">
        <v>4</v>
      </c>
      <c r="E50" s="34" t="n">
        <v>25</v>
      </c>
      <c r="F50" s="34" t="inlineStr">
        <is>
          <t>방향 공격</t>
        </is>
      </c>
      <c r="G50" s="34" t="n">
        <v>1.5</v>
      </c>
      <c r="H50" s="34" t="inlineStr">
        <is>
          <t>Lv.2~5 편집 필요</t>
        </is>
      </c>
      <c r="I50" s="196">
        <f>G50/(D50+1)</f>
        <v/>
      </c>
      <c r="J50" s="204">
        <f>60/(D50+1)</f>
        <v/>
      </c>
      <c r="K50" s="196">
        <f>J50*G50</f>
        <v/>
      </c>
      <c r="L50" s="205">
        <f>J50*E50</f>
        <v/>
      </c>
    </row>
    <row r="51">
      <c r="B51" s="33" t="n"/>
      <c r="C51" s="34" t="n">
        <v>3</v>
      </c>
      <c r="D51" s="34" t="n">
        <v>4</v>
      </c>
      <c r="E51" s="34" t="n">
        <v>25</v>
      </c>
      <c r="F51" s="34" t="inlineStr">
        <is>
          <t>방향 공격</t>
        </is>
      </c>
      <c r="G51" s="34" t="n">
        <v>1.5</v>
      </c>
      <c r="H51" s="34" t="inlineStr">
        <is>
          <t>Lv.2~5 편집 필요</t>
        </is>
      </c>
      <c r="I51" s="196">
        <f>G51/(D51+1)</f>
        <v/>
      </c>
      <c r="J51" s="204">
        <f>60/(D51+1)</f>
        <v/>
      </c>
      <c r="K51" s="196">
        <f>J51*G51</f>
        <v/>
      </c>
      <c r="L51" s="205">
        <f>J51*E51</f>
        <v/>
      </c>
    </row>
    <row r="52" ht="15.95" customHeight="1" s="133">
      <c r="B52" s="33" t="n"/>
      <c r="C52" s="34" t="n">
        <v>4</v>
      </c>
      <c r="D52" s="34" t="n">
        <v>4</v>
      </c>
      <c r="E52" s="34" t="n">
        <v>25</v>
      </c>
      <c r="F52" s="34" t="inlineStr">
        <is>
          <t>방향 공격</t>
        </is>
      </c>
      <c r="G52" s="34" t="n">
        <v>1.5</v>
      </c>
      <c r="H52" s="34" t="inlineStr">
        <is>
          <t>Lv.2~5 편집 필요</t>
        </is>
      </c>
      <c r="I52" s="196">
        <f>G52/(D52+1)</f>
        <v/>
      </c>
      <c r="J52" s="204">
        <f>60/(D52+1)</f>
        <v/>
      </c>
      <c r="K52" s="196">
        <f>J52*G52</f>
        <v/>
      </c>
      <c r="L52" s="205">
        <f>J52*E52</f>
        <v/>
      </c>
    </row>
    <row r="53" ht="15.95" customHeight="1" s="133">
      <c r="B53" s="33" t="n"/>
      <c r="C53" s="34" t="n">
        <v>5</v>
      </c>
      <c r="D53" s="34" t="n">
        <v>4</v>
      </c>
      <c r="E53" s="34" t="n">
        <v>25</v>
      </c>
      <c r="F53" s="34" t="inlineStr">
        <is>
          <t>방향 공격</t>
        </is>
      </c>
      <c r="G53" s="34" t="n">
        <v>1.5</v>
      </c>
      <c r="H53" s="34" t="inlineStr">
        <is>
          <t>Lv.2~5 편집 필요</t>
        </is>
      </c>
      <c r="I53" s="196">
        <f>G53/(D53+1)</f>
        <v/>
      </c>
      <c r="J53" s="204">
        <f>60/(D53+1)</f>
        <v/>
      </c>
      <c r="K53" s="196">
        <f>J53*G53</f>
        <v/>
      </c>
      <c r="L53" s="205">
        <f>J53*E53</f>
        <v/>
      </c>
    </row>
    <row r="54" ht="15.95" customHeight="1" s="133">
      <c r="B54" s="181" t="inlineStr">
        <is>
          <t>W</t>
        </is>
      </c>
      <c r="C54" s="182" t="n">
        <v>1</v>
      </c>
      <c r="D54" s="182" t="n">
        <v>10</v>
      </c>
      <c r="E54" s="182" t="n">
        <v>30</v>
      </c>
      <c r="F54" s="182" t="inlineStr">
        <is>
          <t>방향 범위</t>
        </is>
      </c>
      <c r="G54" s="182" t="n">
        <v>2</v>
      </c>
      <c r="H54" s="182" t="inlineStr">
        <is>
          <t>느려짐 / 광역 그물</t>
        </is>
      </c>
      <c r="I54" s="183">
        <f>G54/(D54+1)</f>
        <v/>
      </c>
      <c r="J54" s="184">
        <f>60/(D54+1)</f>
        <v/>
      </c>
      <c r="K54" s="183">
        <f>J54*G54</f>
        <v/>
      </c>
      <c r="L54" s="185">
        <f>J54*E54</f>
        <v/>
      </c>
    </row>
    <row r="55" ht="15.95" customHeight="1" s="133">
      <c r="B55" s="38" t="n"/>
      <c r="C55" s="39" t="n">
        <v>2</v>
      </c>
      <c r="D55" s="39" t="n">
        <v>10</v>
      </c>
      <c r="E55" s="39" t="n">
        <v>30</v>
      </c>
      <c r="F55" s="39" t="inlineStr">
        <is>
          <t>방향 범위</t>
        </is>
      </c>
      <c r="G55" s="39" t="n">
        <v>2</v>
      </c>
      <c r="H55" s="39" t="inlineStr">
        <is>
          <t>Lv.2~5 편집 필요</t>
        </is>
      </c>
      <c r="I55" s="206">
        <f>G55/(D55+1)</f>
        <v/>
      </c>
      <c r="J55" s="198">
        <f>60/(D55+1)</f>
        <v/>
      </c>
      <c r="K55" s="206">
        <f>J55*G55</f>
        <v/>
      </c>
      <c r="L55" s="199">
        <f>J55*E55</f>
        <v/>
      </c>
    </row>
    <row r="56" ht="15.95" customHeight="1" s="133">
      <c r="B56" s="38" t="n"/>
      <c r="C56" s="39" t="n">
        <v>3</v>
      </c>
      <c r="D56" s="39" t="n">
        <v>10</v>
      </c>
      <c r="E56" s="39" t="n">
        <v>30</v>
      </c>
      <c r="F56" s="39" t="inlineStr">
        <is>
          <t>방향 범위</t>
        </is>
      </c>
      <c r="G56" s="39" t="n">
        <v>2</v>
      </c>
      <c r="H56" s="39" t="inlineStr">
        <is>
          <t>Lv.2~5 편집 필요</t>
        </is>
      </c>
      <c r="I56" s="206">
        <f>G56/(D56+1)</f>
        <v/>
      </c>
      <c r="J56" s="198">
        <f>60/(D56+1)</f>
        <v/>
      </c>
      <c r="K56" s="206">
        <f>J56*G56</f>
        <v/>
      </c>
      <c r="L56" s="199">
        <f>J56*E56</f>
        <v/>
      </c>
    </row>
    <row r="57">
      <c r="B57" s="38" t="n"/>
      <c r="C57" s="39" t="n">
        <v>4</v>
      </c>
      <c r="D57" s="39" t="n">
        <v>10</v>
      </c>
      <c r="E57" s="39" t="n">
        <v>30</v>
      </c>
      <c r="F57" s="39" t="inlineStr">
        <is>
          <t>방향 범위</t>
        </is>
      </c>
      <c r="G57" s="39" t="n">
        <v>2</v>
      </c>
      <c r="H57" s="39" t="inlineStr">
        <is>
          <t>Lv.2~5 편집 필요</t>
        </is>
      </c>
      <c r="I57" s="206">
        <f>G57/(D57+1)</f>
        <v/>
      </c>
      <c r="J57" s="198">
        <f>60/(D57+1)</f>
        <v/>
      </c>
      <c r="K57" s="206">
        <f>J57*G57</f>
        <v/>
      </c>
      <c r="L57" s="199">
        <f>J57*E57</f>
        <v/>
      </c>
    </row>
    <row r="58" ht="15.95" customHeight="1" s="133">
      <c r="B58" s="38" t="n"/>
      <c r="C58" s="39" t="n">
        <v>5</v>
      </c>
      <c r="D58" s="39" t="n">
        <v>10</v>
      </c>
      <c r="E58" s="39" t="n">
        <v>30</v>
      </c>
      <c r="F58" s="39" t="inlineStr">
        <is>
          <t>방향 범위</t>
        </is>
      </c>
      <c r="G58" s="39" t="n">
        <v>2</v>
      </c>
      <c r="H58" s="39" t="inlineStr">
        <is>
          <t>Lv.2~5 편집 필요</t>
        </is>
      </c>
      <c r="I58" s="206">
        <f>G58/(D58+1)</f>
        <v/>
      </c>
      <c r="J58" s="198">
        <f>60/(D58+1)</f>
        <v/>
      </c>
      <c r="K58" s="206">
        <f>J58*G58</f>
        <v/>
      </c>
      <c r="L58" s="199">
        <f>J58*E58</f>
        <v/>
      </c>
    </row>
    <row r="59" ht="15.95" customHeight="1" s="133">
      <c r="B59" s="186" t="inlineStr">
        <is>
          <t>E</t>
        </is>
      </c>
      <c r="C59" s="187" t="n">
        <v>1</v>
      </c>
      <c r="D59" s="187" t="inlineStr">
        <is>
          <t>서브</t>
        </is>
      </c>
      <c r="E59" s="187" t="n">
        <v>15</v>
      </c>
      <c r="F59" s="187" t="inlineStr">
        <is>
          <t>이동 (서브)</t>
        </is>
      </c>
      <c r="G59" s="187" t="n">
        <v>0</v>
      </c>
      <c r="H59" s="187" t="inlineStr">
        <is>
          <t>이동 + 이속 버프 / 피해 없음 / 쿨다운 없음</t>
        </is>
      </c>
      <c r="I59" s="187" t="n"/>
      <c r="J59" s="187" t="n"/>
      <c r="K59" s="187" t="n"/>
      <c r="L59" s="187" t="n"/>
    </row>
    <row r="60" ht="15.95" customHeight="1" s="133">
      <c r="B60" s="44" t="n"/>
      <c r="C60" s="45" t="n">
        <v>2</v>
      </c>
      <c r="D60" s="45" t="inlineStr">
        <is>
          <t>서브</t>
        </is>
      </c>
      <c r="E60" s="45" t="n">
        <v>15</v>
      </c>
      <c r="F60" s="45" t="inlineStr">
        <is>
          <t>이동 (서브)</t>
        </is>
      </c>
      <c r="G60" s="45" t="n">
        <v>0</v>
      </c>
      <c r="H60" s="45" t="inlineStr">
        <is>
          <t>Lv.2~5 편집 필요</t>
        </is>
      </c>
      <c r="I60" s="200" t="n"/>
      <c r="J60" s="200" t="n"/>
      <c r="K60" s="200" t="n"/>
      <c r="L60" s="200" t="n"/>
    </row>
    <row r="61" ht="15.95" customHeight="1" s="133">
      <c r="B61" s="44" t="n"/>
      <c r="C61" s="45" t="n">
        <v>3</v>
      </c>
      <c r="D61" s="45" t="inlineStr">
        <is>
          <t>서브</t>
        </is>
      </c>
      <c r="E61" s="45" t="n">
        <v>15</v>
      </c>
      <c r="F61" s="45" t="inlineStr">
        <is>
          <t>이동 (서브)</t>
        </is>
      </c>
      <c r="G61" s="45" t="n">
        <v>0</v>
      </c>
      <c r="H61" s="45" t="inlineStr">
        <is>
          <t>Lv.2~5 편집 필요</t>
        </is>
      </c>
      <c r="I61" s="200" t="n"/>
      <c r="J61" s="200" t="n"/>
      <c r="K61" s="200" t="n"/>
      <c r="L61" s="200" t="n"/>
    </row>
    <row r="62" ht="15.95" customHeight="1" s="133">
      <c r="B62" s="44" t="n"/>
      <c r="C62" s="45" t="n">
        <v>4</v>
      </c>
      <c r="D62" s="45" t="inlineStr">
        <is>
          <t>서브</t>
        </is>
      </c>
      <c r="E62" s="45" t="n">
        <v>15</v>
      </c>
      <c r="F62" s="45" t="inlineStr">
        <is>
          <t>이동 (서브)</t>
        </is>
      </c>
      <c r="G62" s="45" t="n">
        <v>0</v>
      </c>
      <c r="H62" s="45" t="inlineStr">
        <is>
          <t>Lv.2~5 편집 필요</t>
        </is>
      </c>
      <c r="I62" s="200" t="n"/>
      <c r="J62" s="200" t="n"/>
      <c r="K62" s="200" t="n"/>
      <c r="L62" s="200" t="n"/>
    </row>
    <row r="63">
      <c r="B63" s="44" t="n"/>
      <c r="C63" s="45" t="n">
        <v>5</v>
      </c>
      <c r="D63" s="45" t="inlineStr">
        <is>
          <t>서브</t>
        </is>
      </c>
      <c r="E63" s="45" t="n">
        <v>15</v>
      </c>
      <c r="F63" s="45" t="inlineStr">
        <is>
          <t>이동 (서브)</t>
        </is>
      </c>
      <c r="G63" s="45" t="n">
        <v>0</v>
      </c>
      <c r="H63" s="45" t="inlineStr">
        <is>
          <t>Lv.2~5 편집 필요</t>
        </is>
      </c>
      <c r="I63" s="200" t="n"/>
      <c r="J63" s="200" t="n"/>
      <c r="K63" s="200" t="n"/>
      <c r="L63" s="200" t="n"/>
    </row>
    <row r="64" ht="15.95" customHeight="1" s="133">
      <c r="B64" s="191" t="inlineStr">
        <is>
          <t>R</t>
        </is>
      </c>
      <c r="C64" s="192" t="n">
        <v>1</v>
      </c>
      <c r="D64" s="192" t="n">
        <v>30</v>
      </c>
      <c r="E64" s="192" t="n">
        <v>80</v>
      </c>
      <c r="F64" s="192" t="inlineStr">
        <is>
          <t>방향 공격</t>
        </is>
      </c>
      <c r="G64" s="192" t="n">
        <v>4</v>
      </c>
      <c r="H64" s="192" t="inlineStr">
        <is>
          <t>캐스팅 1s 후 발사 / 피격 대상 보호막</t>
        </is>
      </c>
      <c r="I64" s="193">
        <f>G64/(D64+1)</f>
        <v/>
      </c>
      <c r="J64" s="194">
        <f>60/(D64+1)</f>
        <v/>
      </c>
      <c r="K64" s="193">
        <f>J64*G64</f>
        <v/>
      </c>
      <c r="L64" s="195">
        <f>J64*E64</f>
        <v/>
      </c>
    </row>
    <row r="65" ht="15.95" customHeight="1" s="133">
      <c r="B65" s="52" t="n"/>
      <c r="C65" s="53" t="n">
        <v>2</v>
      </c>
      <c r="D65" s="53" t="n">
        <v>30</v>
      </c>
      <c r="E65" s="53" t="n">
        <v>80</v>
      </c>
      <c r="F65" s="53" t="inlineStr">
        <is>
          <t>방향 공격</t>
        </is>
      </c>
      <c r="G65" s="53" t="n">
        <v>4</v>
      </c>
      <c r="H65" s="53" t="inlineStr">
        <is>
          <t>Lv.2~5 편집 필요</t>
        </is>
      </c>
      <c r="I65" s="201">
        <f>G65/(D65+1)</f>
        <v/>
      </c>
      <c r="J65" s="202">
        <f>60/(D65+1)</f>
        <v/>
      </c>
      <c r="K65" s="201">
        <f>J65*G65</f>
        <v/>
      </c>
      <c r="L65" s="203">
        <f>J65*E65</f>
        <v/>
      </c>
    </row>
    <row r="66" ht="15.95" customHeight="1" s="133">
      <c r="B66" s="52" t="n"/>
      <c r="C66" s="53" t="n">
        <v>3</v>
      </c>
      <c r="D66" s="53" t="n">
        <v>30</v>
      </c>
      <c r="E66" s="53" t="n">
        <v>80</v>
      </c>
      <c r="F66" s="53" t="inlineStr">
        <is>
          <t>방향 공격</t>
        </is>
      </c>
      <c r="G66" s="53" t="n">
        <v>4</v>
      </c>
      <c r="H66" s="53" t="inlineStr">
        <is>
          <t>Lv.2~5 편집 필요</t>
        </is>
      </c>
      <c r="I66" s="201">
        <f>G66/(D66+1)</f>
        <v/>
      </c>
      <c r="J66" s="202">
        <f>60/(D66+1)</f>
        <v/>
      </c>
      <c r="K66" s="201">
        <f>J66*G66</f>
        <v/>
      </c>
      <c r="L66" s="203">
        <f>J66*E66</f>
        <v/>
      </c>
    </row>
    <row r="67" ht="15.95" customHeight="1" s="133">
      <c r="B67" s="52" t="n"/>
      <c r="C67" s="53" t="n">
        <v>4</v>
      </c>
      <c r="D67" s="53" t="n">
        <v>30</v>
      </c>
      <c r="E67" s="53" t="n">
        <v>80</v>
      </c>
      <c r="F67" s="53" t="inlineStr">
        <is>
          <t>방향 공격</t>
        </is>
      </c>
      <c r="G67" s="53" t="n">
        <v>4</v>
      </c>
      <c r="H67" s="53" t="inlineStr">
        <is>
          <t>Lv.2~5 편집 필요</t>
        </is>
      </c>
      <c r="I67" s="201">
        <f>G67/(D67+1)</f>
        <v/>
      </c>
      <c r="J67" s="202">
        <f>60/(D67+1)</f>
        <v/>
      </c>
      <c r="K67" s="201">
        <f>J67*G67</f>
        <v/>
      </c>
      <c r="L67" s="203">
        <f>J67*E67</f>
        <v/>
      </c>
    </row>
    <row r="68" ht="15.95" customHeight="1" s="133">
      <c r="B68" s="52" t="n"/>
      <c r="C68" s="53" t="n">
        <v>5</v>
      </c>
      <c r="D68" s="53" t="n">
        <v>30</v>
      </c>
      <c r="E68" s="53" t="n">
        <v>80</v>
      </c>
      <c r="F68" s="53" t="inlineStr">
        <is>
          <t>방향 공격</t>
        </is>
      </c>
      <c r="G68" s="53" t="n">
        <v>4</v>
      </c>
      <c r="H68" s="53" t="inlineStr">
        <is>
          <t>Lv.2~5 편집 필요</t>
        </is>
      </c>
      <c r="I68" s="201">
        <f>G68/(D68+1)</f>
        <v/>
      </c>
      <c r="J68" s="202">
        <f>60/(D68+1)</f>
        <v/>
      </c>
      <c r="K68" s="201">
        <f>J68*G68</f>
        <v/>
      </c>
      <c r="L68" s="203">
        <f>J68*E68</f>
        <v/>
      </c>
    </row>
    <row r="69"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</row>
    <row r="70">
      <c r="B70" t="inlineStr">
        <is>
          <t>※ 피해량 배율 1.0 = ATK×100%  |  노란 셀 = Lv.1 확인 데이터, 연한 셀 = 편집 필요  |  D(쿨타임)·E(마나)·G(피해량) 직접 수정 → 오른쪽 분석 자동 갱신</t>
        </is>
      </c>
    </row>
    <row r="72" ht="21.95" customHeight="1" s="133">
      <c r="B72" s="135" t="inlineStr">
        <is>
          <t>▶ 3번 스킬셋  |  ✅ 전 레벨 데이터 확보 (시뮬레이터 구현)</t>
        </is>
      </c>
    </row>
    <row r="73" ht="18" customHeight="1" s="133">
      <c r="B73" s="134" t="inlineStr">
        <is>
          <t>GroupId 300001~300155  ·  Q 충격사격(치명)  /  W 연속쏘기(범위)  /  E 급습(이동+공속버프)  /  R 발묶음(CC+피해)</t>
        </is>
      </c>
    </row>
    <row r="75">
      <c r="B75" t="inlineStr">
        <is>
          <t>커맨드</t>
        </is>
      </c>
      <c r="C75" t="inlineStr">
        <is>
          <t>스킬명</t>
        </is>
      </c>
      <c r="D75" t="inlineStr">
        <is>
          <t>유형</t>
        </is>
      </c>
      <c r="E75" t="inlineStr">
        <is>
          <t>설명</t>
        </is>
      </c>
    </row>
    <row r="76" ht="20.1" customHeight="1" s="133">
      <c r="B76" t="inlineStr">
        <is>
          <t>Q</t>
        </is>
      </c>
      <c r="C76" t="inlineStr">
        <is>
          <t>충격 사격</t>
        </is>
      </c>
      <c r="D76" t="inlineStr">
        <is>
          <t>방향 투사체 (치명타)</t>
        </is>
      </c>
      <c r="E76" t="inlineStr">
        <is>
          <t>충격파 화살을 발사하여 피해를 입힙니다. 치명타 적용.</t>
        </is>
      </c>
    </row>
    <row r="77" ht="17.1" customHeight="1" s="133">
      <c r="B77" t="inlineStr">
        <is>
          <t>W</t>
        </is>
      </c>
      <c r="C77" t="inlineStr">
        <is>
          <t>연속 쏘기</t>
        </is>
      </c>
      <c r="D77" t="inlineStr">
        <is>
          <t>방향 범위</t>
        </is>
      </c>
      <c r="E77" t="inlineStr">
        <is>
          <t>여러 발의 화살을 연속으로 발사하여 피해를 입힙니다.</t>
        </is>
      </c>
    </row>
    <row r="78" ht="15.95" customHeight="1" s="133">
      <c r="B78" t="inlineStr">
        <is>
          <t>E</t>
        </is>
      </c>
      <c r="C78" t="inlineStr">
        <is>
          <t>급습</t>
        </is>
      </c>
      <c r="D78" t="inlineStr">
        <is>
          <t>이동 + 공격속도 버프</t>
        </is>
      </c>
      <c r="E78" t="inlineStr">
        <is>
          <t>지정 위치로 순간이동 후 공격 속도를 높입니다. (+50~70% / 7~9s)</t>
        </is>
      </c>
    </row>
    <row r="79" ht="15.95" customHeight="1" s="133">
      <c r="B79" t="inlineStr">
        <is>
          <t>R</t>
        </is>
      </c>
      <c r="C79" t="inlineStr">
        <is>
          <t>발묶음</t>
        </is>
      </c>
      <c r="D79" t="inlineStr">
        <is>
          <t>CC + 피해 (속박)</t>
        </is>
      </c>
      <c r="E79" t="inlineStr">
        <is>
          <t>함정으로 적의 발을 묶어 행동불능 상태로 만들고 피해를 입힙니다.</t>
        </is>
      </c>
    </row>
    <row r="80" ht="15.95" customHeight="1" s="133"/>
    <row r="81" ht="15.95" customHeight="1" s="133">
      <c r="B81" s="174" t="inlineStr">
        <is>
          <t>⚔️ 스킬 강화 정보 — 3번 스킬셋</t>
        </is>
      </c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</row>
    <row r="82" ht="15.95" customHeight="1" s="133">
      <c r="B82" s="175" t="inlineStr">
        <is>
          <t>커맨드</t>
        </is>
      </c>
      <c r="C82" s="175" t="inlineStr">
        <is>
          <t>레벨</t>
        </is>
      </c>
      <c r="D82" s="175" t="inlineStr">
        <is>
          <t>쿨타임(s)</t>
        </is>
      </c>
      <c r="E82" s="175" t="inlineStr">
        <is>
          <t>마나소모</t>
        </is>
      </c>
      <c r="F82" s="175" t="inlineStr">
        <is>
          <t>공격유형</t>
        </is>
      </c>
      <c r="G82" s="175" t="inlineStr">
        <is>
          <t>피해량(배율)</t>
        </is>
      </c>
      <c r="H82" s="175" t="inlineStr">
        <is>
          <t>버프/디버프</t>
        </is>
      </c>
      <c r="I82" s="175" t="inlineStr">
        <is>
          <t>DPS</t>
        </is>
      </c>
      <c r="J82" s="175" t="inlineStr">
        <is>
          <t>분당횟수</t>
        </is>
      </c>
      <c r="K82" s="175" t="inlineStr">
        <is>
          <t>1분누적피해</t>
        </is>
      </c>
      <c r="L82" s="175" t="inlineStr">
        <is>
          <t>1분마나소모</t>
        </is>
      </c>
    </row>
    <row r="83" ht="15.95" customHeight="1" s="133">
      <c r="B83" s="176" t="inlineStr">
        <is>
          <t>Q</t>
        </is>
      </c>
      <c r="C83" s="177" t="n">
        <v>1</v>
      </c>
      <c r="D83" s="177" t="n">
        <v>5</v>
      </c>
      <c r="E83" s="177" t="n">
        <v>10</v>
      </c>
      <c r="F83" s="177" t="inlineStr">
        <is>
          <t>방향 투사체 (치명타)</t>
        </is>
      </c>
      <c r="G83" s="177" t="n">
        <v>2.2</v>
      </c>
      <c r="H83" s="177" t="n"/>
      <c r="I83" s="178">
        <f>G83/(D83+1)</f>
        <v/>
      </c>
      <c r="J83" s="179">
        <f>60/(D83+1)</f>
        <v/>
      </c>
      <c r="K83" s="178">
        <f>J83*G83</f>
        <v/>
      </c>
      <c r="L83" s="180">
        <f>J83*E83</f>
        <v/>
      </c>
    </row>
    <row r="84" ht="15.95" customHeight="1" s="133">
      <c r="B84" s="176" t="n"/>
      <c r="C84" s="177" t="n">
        <v>2</v>
      </c>
      <c r="D84" s="177" t="n">
        <v>4.5</v>
      </c>
      <c r="E84" s="177" t="n">
        <v>10</v>
      </c>
      <c r="F84" s="177" t="inlineStr">
        <is>
          <t>방향 투사체 (치명타)</t>
        </is>
      </c>
      <c r="G84" s="177" t="n">
        <v>2.42</v>
      </c>
      <c r="H84" s="177" t="n"/>
      <c r="I84" s="178">
        <f>G84/(D84+1)</f>
        <v/>
      </c>
      <c r="J84" s="179">
        <f>60/(D84+1)</f>
        <v/>
      </c>
      <c r="K84" s="178">
        <f>J84*G84</f>
        <v/>
      </c>
      <c r="L84" s="180">
        <f>J84*E84</f>
        <v/>
      </c>
    </row>
    <row r="85" ht="15.95" customHeight="1" s="133">
      <c r="B85" s="176" t="n"/>
      <c r="C85" s="177" t="n">
        <v>3</v>
      </c>
      <c r="D85" s="177" t="n">
        <v>4</v>
      </c>
      <c r="E85" s="177" t="n">
        <v>11</v>
      </c>
      <c r="F85" s="177" t="inlineStr">
        <is>
          <t>방향 투사체 (치명타)</t>
        </is>
      </c>
      <c r="G85" s="177" t="n">
        <v>2.64</v>
      </c>
      <c r="H85" s="177" t="n"/>
      <c r="I85" s="178">
        <f>G85/(D85+1)</f>
        <v/>
      </c>
      <c r="J85" s="179">
        <f>60/(D85+1)</f>
        <v/>
      </c>
      <c r="K85" s="178">
        <f>J85*G85</f>
        <v/>
      </c>
      <c r="L85" s="180">
        <f>J85*E85</f>
        <v/>
      </c>
    </row>
    <row r="86">
      <c r="B86" s="176" t="n"/>
      <c r="C86" s="177" t="n">
        <v>4</v>
      </c>
      <c r="D86" s="177" t="n">
        <v>3.5</v>
      </c>
      <c r="E86" s="177" t="n">
        <v>12</v>
      </c>
      <c r="F86" s="177" t="inlineStr">
        <is>
          <t>방향 투사체 (치명타)</t>
        </is>
      </c>
      <c r="G86" s="177" t="n">
        <v>2.86</v>
      </c>
      <c r="H86" s="177" t="n"/>
      <c r="I86" s="178">
        <f>G86/(D86+1)</f>
        <v/>
      </c>
      <c r="J86" s="179">
        <f>60/(D86+1)</f>
        <v/>
      </c>
      <c r="K86" s="178">
        <f>J86*G86</f>
        <v/>
      </c>
      <c r="L86" s="180">
        <f>J86*E86</f>
        <v/>
      </c>
    </row>
    <row r="87">
      <c r="B87" s="176" t="n"/>
      <c r="C87" s="177" t="n">
        <v>5</v>
      </c>
      <c r="D87" s="177" t="n">
        <v>3</v>
      </c>
      <c r="E87" s="177" t="n">
        <v>13</v>
      </c>
      <c r="F87" s="177" t="inlineStr">
        <is>
          <t>방향 투사체 (치명타)</t>
        </is>
      </c>
      <c r="G87" s="177" t="n">
        <v>3.08</v>
      </c>
      <c r="H87" s="177" t="n"/>
      <c r="I87" s="178">
        <f>G87/(D87+1)</f>
        <v/>
      </c>
      <c r="J87" s="179">
        <f>60/(D87+1)</f>
        <v/>
      </c>
      <c r="K87" s="178">
        <f>J87*G87</f>
        <v/>
      </c>
      <c r="L87" s="180">
        <f>J87*E87</f>
        <v/>
      </c>
    </row>
    <row r="88">
      <c r="B88" s="181" t="inlineStr">
        <is>
          <t>W</t>
        </is>
      </c>
      <c r="C88" s="182" t="n">
        <v>1</v>
      </c>
      <c r="D88" s="182" t="n">
        <v>12</v>
      </c>
      <c r="E88" s="182" t="n">
        <v>20</v>
      </c>
      <c r="F88" s="182" t="inlineStr">
        <is>
          <t>방향 범위</t>
        </is>
      </c>
      <c r="G88" s="182" t="n">
        <v>2.8</v>
      </c>
      <c r="H88" s="182" t="n"/>
      <c r="I88" s="183">
        <f>G88/(D88+1)</f>
        <v/>
      </c>
      <c r="J88" s="184">
        <f>60/(D88+1)</f>
        <v/>
      </c>
      <c r="K88" s="183">
        <f>J88*G88</f>
        <v/>
      </c>
      <c r="L88" s="185">
        <f>J88*E88</f>
        <v/>
      </c>
    </row>
    <row r="89">
      <c r="B89" s="181" t="n"/>
      <c r="C89" s="182" t="n">
        <v>2</v>
      </c>
      <c r="D89" s="182" t="n">
        <v>11</v>
      </c>
      <c r="E89" s="182" t="n">
        <v>21</v>
      </c>
      <c r="F89" s="182" t="inlineStr">
        <is>
          <t>방향 범위</t>
        </is>
      </c>
      <c r="G89" s="182" t="n">
        <v>3.08</v>
      </c>
      <c r="H89" s="182" t="n"/>
      <c r="I89" s="183">
        <f>G89/(D89+1)</f>
        <v/>
      </c>
      <c r="J89" s="184">
        <f>60/(D89+1)</f>
        <v/>
      </c>
      <c r="K89" s="183">
        <f>J89*G89</f>
        <v/>
      </c>
      <c r="L89" s="185">
        <f>J89*E89</f>
        <v/>
      </c>
    </row>
    <row r="90">
      <c r="B90" s="181" t="n"/>
      <c r="C90" s="182" t="n">
        <v>3</v>
      </c>
      <c r="D90" s="182" t="n">
        <v>10</v>
      </c>
      <c r="E90" s="182" t="n">
        <v>22</v>
      </c>
      <c r="F90" s="182" t="inlineStr">
        <is>
          <t>방향 범위</t>
        </is>
      </c>
      <c r="G90" s="182" t="n">
        <v>3.36</v>
      </c>
      <c r="H90" s="182" t="n"/>
      <c r="I90" s="183">
        <f>G90/(D90+1)</f>
        <v/>
      </c>
      <c r="J90" s="184">
        <f>60/(D90+1)</f>
        <v/>
      </c>
      <c r="K90" s="183">
        <f>J90*G90</f>
        <v/>
      </c>
      <c r="L90" s="185">
        <f>J90*E90</f>
        <v/>
      </c>
    </row>
    <row r="91">
      <c r="B91" s="181" t="n"/>
      <c r="C91" s="182" t="n">
        <v>4</v>
      </c>
      <c r="D91" s="182" t="n">
        <v>10</v>
      </c>
      <c r="E91" s="182" t="n">
        <v>24</v>
      </c>
      <c r="F91" s="182" t="inlineStr">
        <is>
          <t>방향 범위</t>
        </is>
      </c>
      <c r="G91" s="182" t="n">
        <v>3.64</v>
      </c>
      <c r="H91" s="182" t="n"/>
      <c r="I91" s="183">
        <f>G91/(D91+1)</f>
        <v/>
      </c>
      <c r="J91" s="184">
        <f>60/(D91+1)</f>
        <v/>
      </c>
      <c r="K91" s="183">
        <f>J91*G91</f>
        <v/>
      </c>
      <c r="L91" s="185">
        <f>J91*E91</f>
        <v/>
      </c>
    </row>
    <row r="92">
      <c r="B92" s="181" t="n"/>
      <c r="C92" s="182" t="n">
        <v>5</v>
      </c>
      <c r="D92" s="182" t="n">
        <v>9</v>
      </c>
      <c r="E92" s="182" t="n">
        <v>26</v>
      </c>
      <c r="F92" s="182" t="inlineStr">
        <is>
          <t>방향 범위</t>
        </is>
      </c>
      <c r="G92" s="182" t="n">
        <v>3.92</v>
      </c>
      <c r="H92" s="182" t="n"/>
      <c r="I92" s="183">
        <f>G92/(D92+1)</f>
        <v/>
      </c>
      <c r="J92" s="184">
        <f>60/(D92+1)</f>
        <v/>
      </c>
      <c r="K92" s="183">
        <f>J92*G92</f>
        <v/>
      </c>
      <c r="L92" s="185">
        <f>J92*E92</f>
        <v/>
      </c>
    </row>
    <row r="93">
      <c r="B93" s="186" t="inlineStr">
        <is>
          <t>E</t>
        </is>
      </c>
      <c r="C93" s="187" t="n">
        <v>1</v>
      </c>
      <c r="D93" s="187" t="n">
        <v>20</v>
      </c>
      <c r="E93" s="187" t="n">
        <v>35</v>
      </c>
      <c r="F93" s="187" t="inlineStr">
        <is>
          <t>이동 + 공격속도 버프</t>
        </is>
      </c>
      <c r="G93" s="187" t="n">
        <v>3.5</v>
      </c>
      <c r="H93" s="187" t="inlineStr">
        <is>
          <t>공격속도 +50% / 7.0s</t>
        </is>
      </c>
      <c r="I93" s="188">
        <f>G93/(D93+1)</f>
        <v/>
      </c>
      <c r="J93" s="189">
        <f>60/(D93+1)</f>
        <v/>
      </c>
      <c r="K93" s="188">
        <f>J93*G93</f>
        <v/>
      </c>
      <c r="L93" s="190">
        <f>J93*E93</f>
        <v/>
      </c>
    </row>
    <row r="94">
      <c r="B94" s="186" t="n"/>
      <c r="C94" s="187" t="n">
        <v>2</v>
      </c>
      <c r="D94" s="187" t="n">
        <v>18</v>
      </c>
      <c r="E94" s="187" t="n">
        <v>35</v>
      </c>
      <c r="F94" s="187" t="inlineStr">
        <is>
          <t>이동 + 공격속도 버프</t>
        </is>
      </c>
      <c r="G94" s="187" t="n">
        <v>3.85</v>
      </c>
      <c r="H94" s="187" t="inlineStr">
        <is>
          <t>공격속도 +55% / 7.5s</t>
        </is>
      </c>
      <c r="I94" s="188">
        <f>G94/(D94+1)</f>
        <v/>
      </c>
      <c r="J94" s="189">
        <f>60/(D94+1)</f>
        <v/>
      </c>
      <c r="K94" s="188">
        <f>J94*G94</f>
        <v/>
      </c>
      <c r="L94" s="190">
        <f>J94*E94</f>
        <v/>
      </c>
    </row>
    <row r="95">
      <c r="B95" s="186" t="n"/>
      <c r="C95" s="187" t="n">
        <v>3</v>
      </c>
      <c r="D95" s="187" t="n">
        <v>16</v>
      </c>
      <c r="E95" s="187" t="n">
        <v>36</v>
      </c>
      <c r="F95" s="187" t="inlineStr">
        <is>
          <t>이동 + 공격속도 버프</t>
        </is>
      </c>
      <c r="G95" s="187" t="n">
        <v>4.2</v>
      </c>
      <c r="H95" s="187" t="inlineStr">
        <is>
          <t>공격속도 +60% / 8.0s</t>
        </is>
      </c>
      <c r="I95" s="188">
        <f>G95/(D95+1)</f>
        <v/>
      </c>
      <c r="J95" s="189">
        <f>60/(D95+1)</f>
        <v/>
      </c>
      <c r="K95" s="188">
        <f>J95*G95</f>
        <v/>
      </c>
      <c r="L95" s="190">
        <f>J95*E95</f>
        <v/>
      </c>
    </row>
    <row r="96">
      <c r="B96" s="186" t="n"/>
      <c r="C96" s="187" t="n">
        <v>4</v>
      </c>
      <c r="D96" s="187" t="n">
        <v>15</v>
      </c>
      <c r="E96" s="187" t="n">
        <v>37</v>
      </c>
      <c r="F96" s="187" t="inlineStr">
        <is>
          <t>이동 + 공격속도 버프</t>
        </is>
      </c>
      <c r="G96" s="187" t="n">
        <v>4.55</v>
      </c>
      <c r="H96" s="187" t="inlineStr">
        <is>
          <t>공격속도 +65% / 8.5s</t>
        </is>
      </c>
      <c r="I96" s="188">
        <f>G96/(D96+1)</f>
        <v/>
      </c>
      <c r="J96" s="189">
        <f>60/(D96+1)</f>
        <v/>
      </c>
      <c r="K96" s="188">
        <f>J96*G96</f>
        <v/>
      </c>
      <c r="L96" s="190">
        <f>J96*E96</f>
        <v/>
      </c>
    </row>
    <row r="97">
      <c r="B97" s="186" t="n"/>
      <c r="C97" s="187" t="n">
        <v>5</v>
      </c>
      <c r="D97" s="187" t="n">
        <v>14</v>
      </c>
      <c r="E97" s="187" t="n">
        <v>38</v>
      </c>
      <c r="F97" s="187" t="inlineStr">
        <is>
          <t>이동 + 공격속도 버프</t>
        </is>
      </c>
      <c r="G97" s="187" t="n">
        <v>4.9</v>
      </c>
      <c r="H97" s="187" t="inlineStr">
        <is>
          <t>공격속도 +70% / 9.0s</t>
        </is>
      </c>
      <c r="I97" s="188">
        <f>G97/(D97+1)</f>
        <v/>
      </c>
      <c r="J97" s="189">
        <f>60/(D97+1)</f>
        <v/>
      </c>
      <c r="K97" s="188">
        <f>J97*G97</f>
        <v/>
      </c>
      <c r="L97" s="190">
        <f>J97*E97</f>
        <v/>
      </c>
    </row>
    <row r="98">
      <c r="B98" s="191" t="inlineStr">
        <is>
          <t>R</t>
        </is>
      </c>
      <c r="C98" s="192" t="n">
        <v>1</v>
      </c>
      <c r="D98" s="192" t="n">
        <v>45</v>
      </c>
      <c r="E98" s="192" t="n">
        <v>70</v>
      </c>
      <c r="F98" s="192" t="inlineStr">
        <is>
          <t>CC + 피해 (속박)</t>
        </is>
      </c>
      <c r="G98" s="192" t="n">
        <v>5</v>
      </c>
      <c r="H98" s="192" t="inlineStr">
        <is>
          <t>속박 CC (발묶음)</t>
        </is>
      </c>
      <c r="I98" s="193">
        <f>G98/(D98+1)</f>
        <v/>
      </c>
      <c r="J98" s="194">
        <f>60/(D98+1)</f>
        <v/>
      </c>
      <c r="K98" s="193">
        <f>J98*G98</f>
        <v/>
      </c>
      <c r="L98" s="195">
        <f>J98*E98</f>
        <v/>
      </c>
    </row>
    <row r="99">
      <c r="B99" s="191" t="n"/>
      <c r="C99" s="192" t="n">
        <v>2</v>
      </c>
      <c r="D99" s="192" t="n">
        <v>41</v>
      </c>
      <c r="E99" s="192" t="n">
        <v>72</v>
      </c>
      <c r="F99" s="192" t="inlineStr">
        <is>
          <t>CC + 피해 (속박)</t>
        </is>
      </c>
      <c r="G99" s="192" t="n">
        <v>5.5</v>
      </c>
      <c r="H99" s="192" t="inlineStr">
        <is>
          <t>속박 CC (발묶음)</t>
        </is>
      </c>
      <c r="I99" s="193">
        <f>G99/(D99+1)</f>
        <v/>
      </c>
      <c r="J99" s="194">
        <f>60/(D99+1)</f>
        <v/>
      </c>
      <c r="K99" s="193">
        <f>J99*G99</f>
        <v/>
      </c>
      <c r="L99" s="195">
        <f>J99*E99</f>
        <v/>
      </c>
    </row>
    <row r="100">
      <c r="B100" s="191" t="n"/>
      <c r="C100" s="192" t="n">
        <v>3</v>
      </c>
      <c r="D100" s="192" t="n">
        <v>37</v>
      </c>
      <c r="E100" s="192" t="n">
        <v>74</v>
      </c>
      <c r="F100" s="192" t="inlineStr">
        <is>
          <t>CC + 피해 (속박)</t>
        </is>
      </c>
      <c r="G100" s="192" t="n">
        <v>6</v>
      </c>
      <c r="H100" s="192" t="inlineStr">
        <is>
          <t>속박 CC (발묶음)</t>
        </is>
      </c>
      <c r="I100" s="193">
        <f>G100/(D100+1)</f>
        <v/>
      </c>
      <c r="J100" s="194">
        <f>60/(D100+1)</f>
        <v/>
      </c>
      <c r="K100" s="193">
        <f>J100*G100</f>
        <v/>
      </c>
      <c r="L100" s="195">
        <f>J100*E100</f>
        <v/>
      </c>
    </row>
    <row r="101">
      <c r="B101" s="191" t="n"/>
      <c r="C101" s="192" t="n">
        <v>4</v>
      </c>
      <c r="D101" s="192" t="n">
        <v>33</v>
      </c>
      <c r="E101" s="192" t="n">
        <v>76</v>
      </c>
      <c r="F101" s="192" t="inlineStr">
        <is>
          <t>CC + 피해 (속박)</t>
        </is>
      </c>
      <c r="G101" s="192" t="n">
        <v>6.5</v>
      </c>
      <c r="H101" s="192" t="inlineStr">
        <is>
          <t>속박 CC (발묶음)</t>
        </is>
      </c>
      <c r="I101" s="193">
        <f>G101/(D101+1)</f>
        <v/>
      </c>
      <c r="J101" s="194">
        <f>60/(D101+1)</f>
        <v/>
      </c>
      <c r="K101" s="193">
        <f>J101*G101</f>
        <v/>
      </c>
      <c r="L101" s="195">
        <f>J101*E101</f>
        <v/>
      </c>
    </row>
    <row r="102">
      <c r="B102" s="191" t="n"/>
      <c r="C102" s="192" t="n">
        <v>5</v>
      </c>
      <c r="D102" s="192" t="n">
        <v>30</v>
      </c>
      <c r="E102" s="192" t="n">
        <v>78</v>
      </c>
      <c r="F102" s="192" t="inlineStr">
        <is>
          <t>CC + 피해 (속박)</t>
        </is>
      </c>
      <c r="G102" s="192" t="n">
        <v>7</v>
      </c>
      <c r="H102" s="192" t="inlineStr">
        <is>
          <t>속박 CC (발묶음)</t>
        </is>
      </c>
      <c r="I102" s="193">
        <f>G102/(D102+1)</f>
        <v/>
      </c>
      <c r="J102" s="194">
        <f>60/(D102+1)</f>
        <v/>
      </c>
      <c r="K102" s="193">
        <f>J102*G102</f>
        <v/>
      </c>
      <c r="L102" s="195">
        <f>J102*E102</f>
        <v/>
      </c>
    </row>
    <row r="104">
      <c r="B104" t="inlineStr">
        <is>
          <t>📊 지속 딜링 능력 (1분 기준) — 3번 스킬셋</t>
        </is>
      </c>
    </row>
    <row r="105">
      <c r="B105" t="inlineStr">
        <is>
          <t>레벨</t>
        </is>
      </c>
      <c r="C105" t="inlineStr">
        <is>
          <t>Q</t>
        </is>
      </c>
      <c r="D105" t="inlineStr">
        <is>
          <t>W</t>
        </is>
      </c>
      <c r="E105" t="inlineStr">
        <is>
          <t>E</t>
        </is>
      </c>
      <c r="F105" t="inlineStr">
        <is>
          <t>R</t>
        </is>
      </c>
      <c r="G105" t="inlineStr">
        <is>
          <t>1분 합계</t>
        </is>
      </c>
      <c r="H105" t="inlineStr">
        <is>
          <t>지속DPS</t>
        </is>
      </c>
      <c r="I105" t="inlineStr">
        <is>
          <t>레벨업 증가율</t>
        </is>
      </c>
    </row>
    <row r="106">
      <c r="B106" t="n">
        <v>1</v>
      </c>
      <c r="C106">
        <f>K83</f>
        <v/>
      </c>
      <c r="D106">
        <f>K88</f>
        <v/>
      </c>
      <c r="E106">
        <f>K93</f>
        <v/>
      </c>
      <c r="F106">
        <f>K98</f>
        <v/>
      </c>
      <c r="G106">
        <f>SUM(C106:F106)</f>
        <v/>
      </c>
      <c r="H106">
        <f>G106/60</f>
        <v/>
      </c>
      <c r="I106" t="inlineStr">
        <is>
          <t>-</t>
        </is>
      </c>
    </row>
    <row r="107">
      <c r="B107" t="n">
        <v>2</v>
      </c>
      <c r="C107">
        <f>K84</f>
        <v/>
      </c>
      <c r="D107">
        <f>K89</f>
        <v/>
      </c>
      <c r="E107">
        <f>K94</f>
        <v/>
      </c>
      <c r="F107">
        <f>K99</f>
        <v/>
      </c>
      <c r="G107">
        <f>SUM(C107:F107)</f>
        <v/>
      </c>
      <c r="H107">
        <f>G107/60</f>
        <v/>
      </c>
      <c r="I107">
        <f>H107/H106</f>
        <v/>
      </c>
    </row>
    <row r="108">
      <c r="B108" t="n">
        <v>3</v>
      </c>
      <c r="C108">
        <f>K85</f>
        <v/>
      </c>
      <c r="D108">
        <f>K90</f>
        <v/>
      </c>
      <c r="E108">
        <f>K95</f>
        <v/>
      </c>
      <c r="F108">
        <f>K100</f>
        <v/>
      </c>
      <c r="G108">
        <f>SUM(C108:F108)</f>
        <v/>
      </c>
      <c r="H108">
        <f>G108/60</f>
        <v/>
      </c>
      <c r="I108">
        <f>H108/H107</f>
        <v/>
      </c>
    </row>
    <row r="109">
      <c r="B109" t="n">
        <v>4</v>
      </c>
      <c r="C109">
        <f>K86</f>
        <v/>
      </c>
      <c r="D109">
        <f>K91</f>
        <v/>
      </c>
      <c r="E109">
        <f>K96</f>
        <v/>
      </c>
      <c r="F109">
        <f>K101</f>
        <v/>
      </c>
      <c r="G109">
        <f>SUM(C109:F109)</f>
        <v/>
      </c>
      <c r="H109">
        <f>G109/60</f>
        <v/>
      </c>
      <c r="I109">
        <f>H109/H108</f>
        <v/>
      </c>
    </row>
    <row r="110">
      <c r="B110" t="n">
        <v>5</v>
      </c>
      <c r="C110">
        <f>K87</f>
        <v/>
      </c>
      <c r="D110">
        <f>K92</f>
        <v/>
      </c>
      <c r="E110">
        <f>K97</f>
        <v/>
      </c>
      <c r="F110">
        <f>K102</f>
        <v/>
      </c>
      <c r="G110">
        <f>SUM(C110:F110)</f>
        <v/>
      </c>
      <c r="H110">
        <f>G110/60</f>
        <v/>
      </c>
      <c r="I110">
        <f>H110/H109</f>
        <v/>
      </c>
    </row>
    <row r="112">
      <c r="B112" t="inlineStr">
        <is>
          <t>📊 딜 비중표 (%) — 3번 스킬셋</t>
        </is>
      </c>
    </row>
    <row r="113">
      <c r="B113" t="inlineStr">
        <is>
          <t>레벨</t>
        </is>
      </c>
      <c r="C113" t="inlineStr">
        <is>
          <t>Q</t>
        </is>
      </c>
      <c r="D113" t="inlineStr">
        <is>
          <t>W</t>
        </is>
      </c>
      <c r="E113" t="inlineStr">
        <is>
          <t>E</t>
        </is>
      </c>
      <c r="F113" t="inlineStr">
        <is>
          <t>R</t>
        </is>
      </c>
    </row>
    <row r="114">
      <c r="B114" t="n">
        <v>1</v>
      </c>
      <c r="C114">
        <f>C106/G106</f>
        <v/>
      </c>
      <c r="D114">
        <f>D106/G106</f>
        <v/>
      </c>
      <c r="E114">
        <f>E106/G106</f>
        <v/>
      </c>
      <c r="F114">
        <f>F106/G106</f>
        <v/>
      </c>
    </row>
    <row r="115">
      <c r="B115" t="n">
        <v>2</v>
      </c>
      <c r="C115">
        <f>C107/G107</f>
        <v/>
      </c>
      <c r="D115">
        <f>D107/G107</f>
        <v/>
      </c>
      <c r="E115">
        <f>E107/G107</f>
        <v/>
      </c>
      <c r="F115">
        <f>F107/G107</f>
        <v/>
      </c>
    </row>
    <row r="116">
      <c r="B116" t="n">
        <v>3</v>
      </c>
      <c r="C116">
        <f>C108/G108</f>
        <v/>
      </c>
      <c r="D116">
        <f>D108/G108</f>
        <v/>
      </c>
      <c r="E116">
        <f>E108/G108</f>
        <v/>
      </c>
      <c r="F116">
        <f>F108/G108</f>
        <v/>
      </c>
    </row>
    <row r="117">
      <c r="B117" t="n">
        <v>4</v>
      </c>
      <c r="C117">
        <f>C109/G109</f>
        <v/>
      </c>
      <c r="D117">
        <f>D109/G109</f>
        <v/>
      </c>
      <c r="E117">
        <f>E109/G109</f>
        <v/>
      </c>
      <c r="F117">
        <f>F109/G109</f>
        <v/>
      </c>
    </row>
    <row r="118">
      <c r="B118" t="n">
        <v>5</v>
      </c>
      <c r="C118">
        <f>C110/G110</f>
        <v/>
      </c>
      <c r="D118">
        <f>D110/G110</f>
        <v/>
      </c>
      <c r="E118">
        <f>E110/G110</f>
        <v/>
      </c>
      <c r="F118">
        <f>F110/G110</f>
        <v/>
      </c>
    </row>
    <row r="120">
      <c r="B120" t="inlineStr">
        <is>
          <t>💧 마나 소모량 (1분 기준) — 3번 스킬셋</t>
        </is>
      </c>
    </row>
    <row r="121">
      <c r="B121" t="inlineStr">
        <is>
          <t>레벨</t>
        </is>
      </c>
      <c r="C121" t="inlineStr">
        <is>
          <t>Q</t>
        </is>
      </c>
      <c r="D121" t="inlineStr">
        <is>
          <t>W</t>
        </is>
      </c>
      <c r="E121" t="inlineStr">
        <is>
          <t>E</t>
        </is>
      </c>
      <c r="F121" t="inlineStr">
        <is>
          <t>R</t>
        </is>
      </c>
      <c r="G121" t="inlineStr">
        <is>
          <t>합계</t>
        </is>
      </c>
      <c r="H121" t="inlineStr">
        <is>
          <t>증가율</t>
        </is>
      </c>
    </row>
    <row r="122">
      <c r="B122" t="n">
        <v>1</v>
      </c>
      <c r="C122">
        <f>L83</f>
        <v/>
      </c>
      <c r="D122">
        <f>L88</f>
        <v/>
      </c>
      <c r="E122">
        <f>L93</f>
        <v/>
      </c>
      <c r="F122">
        <f>L98</f>
        <v/>
      </c>
      <c r="G122">
        <f>SUM(C122:F122)</f>
        <v/>
      </c>
      <c r="H122" t="inlineStr">
        <is>
          <t>-</t>
        </is>
      </c>
    </row>
    <row r="123">
      <c r="B123" t="n">
        <v>2</v>
      </c>
      <c r="C123">
        <f>L84</f>
        <v/>
      </c>
      <c r="D123">
        <f>L89</f>
        <v/>
      </c>
      <c r="E123">
        <f>L94</f>
        <v/>
      </c>
      <c r="F123">
        <f>L99</f>
        <v/>
      </c>
      <c r="G123">
        <f>SUM(C123:F123)</f>
        <v/>
      </c>
      <c r="H123">
        <f>G123/G122</f>
        <v/>
      </c>
    </row>
    <row r="124">
      <c r="B124" t="n">
        <v>3</v>
      </c>
      <c r="C124">
        <f>L85</f>
        <v/>
      </c>
      <c r="D124">
        <f>L90</f>
        <v/>
      </c>
      <c r="E124">
        <f>L95</f>
        <v/>
      </c>
      <c r="F124">
        <f>L100</f>
        <v/>
      </c>
      <c r="G124">
        <f>SUM(C124:F124)</f>
        <v/>
      </c>
      <c r="H124">
        <f>G124/G123</f>
        <v/>
      </c>
    </row>
    <row r="125">
      <c r="B125" t="n">
        <v>4</v>
      </c>
      <c r="C125">
        <f>L86</f>
        <v/>
      </c>
      <c r="D125">
        <f>L91</f>
        <v/>
      </c>
      <c r="E125">
        <f>L96</f>
        <v/>
      </c>
      <c r="F125">
        <f>L101</f>
        <v/>
      </c>
      <c r="G125">
        <f>SUM(C125:F125)</f>
        <v/>
      </c>
      <c r="H125">
        <f>G125/G124</f>
        <v/>
      </c>
    </row>
    <row r="126">
      <c r="B126" t="n">
        <v>5</v>
      </c>
      <c r="C126">
        <f>L87</f>
        <v/>
      </c>
      <c r="D126">
        <f>L92</f>
        <v/>
      </c>
      <c r="E126">
        <f>L97</f>
        <v/>
      </c>
      <c r="F126">
        <f>L102</f>
        <v/>
      </c>
      <c r="G126">
        <f>SUM(C126:F126)</f>
        <v/>
      </c>
      <c r="H126">
        <f>G126/G125</f>
        <v/>
      </c>
    </row>
    <row r="128">
      <c r="B128" t="inlineStr">
        <is>
          <t>※ 피해량 배율 1.0 = ATK×100%  |  E급습은 공격속도 버프 효과 미포함 (순수 스킬 피해만 집계)</t>
        </is>
      </c>
    </row>
    <row r="130">
      <c r="B130" t="inlineStr">
        <is>
          <t>■ 스킬 계수 요약 (1번/2번 Lv.1 기준)</t>
        </is>
      </c>
    </row>
    <row r="131">
      <c r="B131" t="inlineStr">
        <is>
          <t>티어</t>
        </is>
      </c>
      <c r="C131" t="inlineStr">
        <is>
          <t>커맨드</t>
        </is>
      </c>
      <c r="D131" t="inlineStr">
        <is>
          <t>스킬명</t>
        </is>
      </c>
      <c r="E131" t="inlineStr">
        <is>
          <t>쿨타임(s)</t>
        </is>
      </c>
      <c r="F131" t="inlineStr">
        <is>
          <t>마나</t>
        </is>
      </c>
      <c r="G131" t="inlineStr">
        <is>
          <t>피해계수(×)</t>
        </is>
      </c>
      <c r="H131" t="inlineStr">
        <is>
          <t>유형</t>
        </is>
      </c>
      <c r="I131" t="inlineStr">
        <is>
          <t>특이사항</t>
        </is>
      </c>
    </row>
    <row r="132">
      <c r="B132" t="inlineStr">
        <is>
          <t>1번</t>
        </is>
      </c>
      <c r="C132" t="inlineStr">
        <is>
          <t>Q</t>
        </is>
      </c>
      <c r="D132" t="inlineStr">
        <is>
          <t>저격</t>
        </is>
      </c>
      <c r="E132" t="n">
        <v>5</v>
      </c>
      <c r="F132" t="n">
        <v>30</v>
      </c>
      <c r="G132" t="n">
        <v>1.65</v>
      </c>
      <c r="H132" t="inlineStr">
        <is>
          <t>방향 투사체</t>
        </is>
      </c>
      <c r="I132" t="inlineStr">
        <is>
          <t>느려짐→기절 연쇄 / 기절대상 +25%</t>
        </is>
      </c>
    </row>
    <row r="133">
      <c r="B133" t="inlineStr">
        <is>
          <t>1번</t>
        </is>
      </c>
      <c r="C133" t="inlineStr">
        <is>
          <t>W</t>
        </is>
      </c>
      <c r="D133" t="inlineStr">
        <is>
          <t>부채 사격</t>
        </is>
      </c>
      <c r="E133" t="n">
        <v>12</v>
      </c>
      <c r="F133" t="n">
        <v>30</v>
      </c>
      <c r="G133" t="n">
        <v>2.25</v>
      </c>
      <c r="H133" t="inlineStr">
        <is>
          <t>방향 범위</t>
        </is>
      </c>
      <c r="I133" t="inlineStr">
        <is>
          <t>느려짐+밀어냄 / 광역 CC</t>
        </is>
      </c>
    </row>
    <row r="134">
      <c r="B134" t="inlineStr">
        <is>
          <t>1번</t>
        </is>
      </c>
      <c r="C134" t="inlineStr">
        <is>
          <t>E</t>
        </is>
      </c>
      <c r="D134" t="inlineStr">
        <is>
          <t>불화살 소나기</t>
        </is>
      </c>
      <c r="E134" t="n">
        <v>15</v>
      </c>
      <c r="F134" t="n">
        <v>30</v>
      </c>
      <c r="G134" t="n">
        <v>3</v>
      </c>
      <c r="H134" t="inlineStr">
        <is>
          <t>위치지정</t>
        </is>
      </c>
      <c r="I134" t="inlineStr">
        <is>
          <t>60%×5발</t>
        </is>
      </c>
    </row>
    <row r="135">
      <c r="B135" t="inlineStr">
        <is>
          <t>1번</t>
        </is>
      </c>
      <c r="C135" t="inlineStr">
        <is>
          <t>R</t>
        </is>
      </c>
      <c r="D135" t="inlineStr">
        <is>
          <t>폭탄 화살</t>
        </is>
      </c>
      <c r="E135" t="n">
        <v>50</v>
      </c>
      <c r="F135" t="n">
        <v>100</v>
      </c>
      <c r="G135" t="n">
        <v>10</v>
      </c>
      <c r="H135" t="inlineStr">
        <is>
          <t>방향 공격</t>
        </is>
      </c>
      <c r="I135" t="inlineStr">
        <is>
          <t>500%×2 / 기절</t>
        </is>
      </c>
    </row>
    <row r="136">
      <c r="B136" t="inlineStr">
        <is>
          <t>2번</t>
        </is>
      </c>
      <c r="C136" t="inlineStr">
        <is>
          <t>Q</t>
        </is>
      </c>
      <c r="D136" t="inlineStr">
        <is>
          <t>섬광 화살</t>
        </is>
      </c>
      <c r="E136" t="n">
        <v>4</v>
      </c>
      <c r="F136" t="n">
        <v>25</v>
      </c>
      <c r="G136" t="n">
        <v>1.5</v>
      </c>
      <c r="H136" t="inlineStr">
        <is>
          <t>방향 공격</t>
        </is>
      </c>
      <c r="I136" t="inlineStr">
        <is>
          <t>아군 강화평타200%+버프 / 적 150%</t>
        </is>
      </c>
    </row>
    <row r="137">
      <c r="B137" t="inlineStr">
        <is>
          <t>2번</t>
        </is>
      </c>
      <c r="C137" t="inlineStr">
        <is>
          <t>W</t>
        </is>
      </c>
      <c r="D137" t="inlineStr">
        <is>
          <t>천상의 그물</t>
        </is>
      </c>
      <c r="E137" t="n">
        <v>10</v>
      </c>
      <c r="F137" t="n">
        <v>30</v>
      </c>
      <c r="G137" t="n">
        <v>2</v>
      </c>
      <c r="H137" t="inlineStr">
        <is>
          <t>방향 범위</t>
        </is>
      </c>
      <c r="I137" t="inlineStr">
        <is>
          <t>느려짐</t>
        </is>
      </c>
    </row>
    <row r="138">
      <c r="B138" t="inlineStr">
        <is>
          <t>2번</t>
        </is>
      </c>
      <c r="C138" t="inlineStr">
        <is>
          <t>E</t>
        </is>
      </c>
      <c r="D138" t="inlineStr">
        <is>
          <t>재정비 도약</t>
        </is>
      </c>
      <c r="E138" t="n">
        <v>0</v>
      </c>
      <c r="F138" t="n">
        <v>15</v>
      </c>
      <c r="G138" t="n">
        <v>0</v>
      </c>
      <c r="H138" t="inlineStr">
        <is>
          <t>이동(서브)</t>
        </is>
      </c>
      <c r="I138" t="inlineStr">
        <is>
          <t>피해없음 / 이속버프</t>
        </is>
      </c>
    </row>
    <row r="139">
      <c r="B139" t="inlineStr">
        <is>
          <t>2번</t>
        </is>
      </c>
      <c r="C139" t="inlineStr">
        <is>
          <t>R</t>
        </is>
      </c>
      <c r="D139" t="inlineStr">
        <is>
          <t>금빛 성광</t>
        </is>
      </c>
      <c r="E139" t="n">
        <v>30</v>
      </c>
      <c r="F139" t="n">
        <v>80</v>
      </c>
      <c r="G139" t="n">
        <v>4</v>
      </c>
      <c r="H139" t="inlineStr">
        <is>
          <t>방향 공격</t>
        </is>
      </c>
      <c r="I139" t="inlineStr">
        <is>
          <t>캐스팅 1s / 보호막</t>
        </is>
      </c>
    </row>
    <row r="200">
      <c r="B200" s="109" t="n"/>
    </row>
    <row r="201">
      <c r="B201" s="87" t="n"/>
      <c r="C201" s="87" t="n"/>
      <c r="D201" s="87" t="n"/>
      <c r="E201" s="87" t="n"/>
      <c r="F201" s="87" t="n"/>
      <c r="G201" s="87" t="n"/>
      <c r="H201" s="87" t="n"/>
      <c r="I201" s="87" t="n"/>
    </row>
    <row r="202">
      <c r="B202" s="110" t="n"/>
      <c r="C202" s="110" t="n"/>
      <c r="D202" s="110" t="n"/>
      <c r="E202" s="110" t="n"/>
      <c r="F202" s="110" t="n"/>
      <c r="G202" s="110" t="n"/>
      <c r="H202" s="110" t="n"/>
      <c r="I202" s="111" t="n"/>
    </row>
    <row r="203">
      <c r="B203" s="112" t="n"/>
      <c r="C203" s="112" t="n"/>
      <c r="D203" s="112" t="n"/>
      <c r="E203" s="112" t="n"/>
      <c r="F203" s="112" t="n"/>
      <c r="G203" s="112" t="n"/>
      <c r="H203" s="112" t="n"/>
      <c r="I203" s="113" t="n"/>
    </row>
    <row r="204">
      <c r="B204" s="110" t="n"/>
      <c r="C204" s="110" t="n"/>
      <c r="D204" s="110" t="n"/>
      <c r="E204" s="110" t="n"/>
      <c r="F204" s="110" t="n"/>
      <c r="G204" s="110" t="n"/>
      <c r="H204" s="110" t="n"/>
      <c r="I204" s="111" t="n"/>
    </row>
    <row r="205">
      <c r="B205" s="112" t="n"/>
      <c r="C205" s="112" t="n"/>
      <c r="D205" s="112" t="n"/>
      <c r="E205" s="112" t="n"/>
      <c r="F205" s="112" t="n"/>
      <c r="G205" s="112" t="n"/>
      <c r="H205" s="112" t="n"/>
      <c r="I205" s="113" t="n"/>
    </row>
    <row r="206">
      <c r="B206" s="110" t="n"/>
      <c r="C206" s="110" t="n"/>
      <c r="D206" s="110" t="n"/>
      <c r="E206" s="110" t="n"/>
      <c r="F206" s="110" t="n"/>
      <c r="G206" s="110" t="n"/>
      <c r="H206" s="110" t="n"/>
      <c r="I206" s="111" t="n"/>
    </row>
    <row r="207">
      <c r="B207" s="112" t="n"/>
      <c r="C207" s="112" t="n"/>
      <c r="D207" s="112" t="n"/>
      <c r="E207" s="112" t="n"/>
      <c r="F207" s="112" t="n"/>
      <c r="G207" s="112" t="n"/>
      <c r="H207" s="112" t="n"/>
      <c r="I207" s="113" t="n"/>
    </row>
    <row r="208">
      <c r="B208" s="110" t="n"/>
      <c r="C208" s="110" t="n"/>
      <c r="D208" s="110" t="n"/>
      <c r="E208" s="110" t="n"/>
      <c r="F208" s="110" t="n"/>
      <c r="G208" s="110" t="n"/>
      <c r="H208" s="110" t="n"/>
      <c r="I208" s="111" t="n"/>
    </row>
    <row r="209">
      <c r="B209" s="112" t="n"/>
      <c r="C209" s="112" t="n"/>
      <c r="D209" s="112" t="n"/>
      <c r="E209" s="112" t="n"/>
      <c r="F209" s="112" t="n"/>
      <c r="G209" s="112" t="n"/>
      <c r="H209" s="112" t="n"/>
      <c r="I209" s="113" t="n"/>
    </row>
  </sheetData>
  <mergeCells count="4">
    <mergeCell ref="B2:L2"/>
    <mergeCell ref="B73:L73"/>
    <mergeCell ref="B72:L72"/>
    <mergeCell ref="B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6.5"/>
  <cols>
    <col width="2" customWidth="1" style="133" min="1" max="1"/>
    <col width="20" customWidth="1" style="133" min="2" max="2"/>
    <col width="10" customWidth="1" style="133" min="3" max="3"/>
    <col width="14" customWidth="1" style="133" min="4" max="4"/>
    <col width="22" customWidth="1" style="133" min="5" max="5"/>
    <col width="16.625" customWidth="1" style="133" min="6" max="6"/>
    <col width="30" customWidth="1" style="133" min="7" max="7"/>
  </cols>
  <sheetData>
    <row r="1" ht="20.25" customHeight="1" s="133">
      <c r="B1" s="116" t="inlineStr">
        <is>
          <t>X7 스킬 전체 리스트 ([X7] 스킬 밸런스 - 스킬 리스트.csv 기준)</t>
        </is>
      </c>
      <c r="C1" s="114" t="n"/>
      <c r="D1" s="114" t="n"/>
      <c r="E1" s="114" t="n"/>
      <c r="F1" s="114" t="n"/>
      <c r="G1" s="115" t="n"/>
    </row>
    <row r="2">
      <c r="B2" s="122" t="inlineStr">
        <is>
          <t>장비 구분</t>
        </is>
      </c>
      <c r="C2" s="122" t="inlineStr">
        <is>
          <t>커맨드</t>
        </is>
      </c>
      <c r="D2" s="122" t="inlineStr">
        <is>
          <t>GroupId</t>
        </is>
      </c>
      <c r="E2" s="122" t="inlineStr">
        <is>
          <t>스킬명 (Lv1)</t>
        </is>
      </c>
      <c r="F2" s="122" t="inlineStr">
        <is>
          <t>데이터 상태</t>
        </is>
      </c>
      <c r="G2" s="122" t="inlineStr">
        <is>
          <t>비고</t>
        </is>
      </c>
    </row>
    <row r="3">
      <c r="B3" s="40" t="inlineStr">
        <is>
          <t>1번 스킬셋 한손검</t>
        </is>
      </c>
      <c r="C3" s="21" t="inlineStr">
        <is>
          <t>Q</t>
        </is>
      </c>
      <c r="D3" s="74" t="inlineStr">
        <is>
          <t>100201</t>
        </is>
      </c>
      <c r="E3" s="75" t="inlineStr">
        <is>
          <t>철벽의 반격</t>
        </is>
      </c>
      <c r="F3" s="75" t="inlineStr">
        <is>
          <t>🟡 Lv.1만 확보</t>
        </is>
      </c>
      <c r="G3" s="74" t="inlineStr">
        <is>
          <t>cd=5s/MP=30/dmg=225%</t>
        </is>
      </c>
    </row>
    <row r="4">
      <c r="B4" s="40" t="inlineStr">
        <is>
          <t>1번 스킬셋 한손검</t>
        </is>
      </c>
      <c r="C4" s="23" t="inlineStr">
        <is>
          <t>W</t>
        </is>
      </c>
      <c r="D4" s="74" t="inlineStr">
        <is>
          <t>100251</t>
        </is>
      </c>
      <c r="E4" s="75" t="inlineStr">
        <is>
          <t>방패 돌진</t>
        </is>
      </c>
      <c r="F4" s="75" t="inlineStr">
        <is>
          <t>🟡 Lv.1만 확보</t>
        </is>
      </c>
      <c r="G4" s="74" t="inlineStr">
        <is>
          <t>cd=0s(서브)/dmg=200%</t>
        </is>
      </c>
    </row>
    <row r="5">
      <c r="B5" s="40" t="inlineStr">
        <is>
          <t>1번 스킬셋 한손검</t>
        </is>
      </c>
      <c r="C5" s="25" t="inlineStr">
        <is>
          <t>E</t>
        </is>
      </c>
      <c r="D5" s="74" t="inlineStr">
        <is>
          <t>100301</t>
        </is>
      </c>
      <c r="E5" s="75" t="inlineStr">
        <is>
          <t>방패 투척</t>
        </is>
      </c>
      <c r="F5" s="75" t="inlineStr">
        <is>
          <t>🟡 Lv.1만 확보</t>
        </is>
      </c>
      <c r="G5" s="74" t="inlineStr">
        <is>
          <t>cd=15s/MP=30/dmg=200%</t>
        </is>
      </c>
    </row>
    <row r="6">
      <c r="B6" s="40" t="inlineStr">
        <is>
          <t>1번 스킬셋 한손검</t>
        </is>
      </c>
      <c r="C6" s="27" t="inlineStr">
        <is>
          <t>R</t>
        </is>
      </c>
      <c r="D6" s="74" t="inlineStr">
        <is>
          <t>100351</t>
        </is>
      </c>
      <c r="E6" s="75" t="inlineStr">
        <is>
          <t>파멸의 징벌</t>
        </is>
      </c>
      <c r="F6" s="75" t="inlineStr">
        <is>
          <t>🟡 Lv.1만 확보</t>
        </is>
      </c>
      <c r="G6" s="74" t="inlineStr">
        <is>
          <t>cd=45s/MP=30/dmg=400%</t>
        </is>
      </c>
    </row>
    <row r="7">
      <c r="B7" s="40" t="inlineStr">
        <is>
          <t>2번 스킬셋 한손검</t>
        </is>
      </c>
      <c r="C7" s="21" t="inlineStr">
        <is>
          <t>Q</t>
        </is>
      </c>
      <c r="D7" s="74" t="inlineStr">
        <is>
          <t>100401</t>
        </is>
      </c>
      <c r="E7" s="75" t="inlineStr">
        <is>
          <t>제압</t>
        </is>
      </c>
      <c r="F7" s="75" t="inlineStr">
        <is>
          <t>🟡 Lv.1만 확보</t>
        </is>
      </c>
      <c r="G7" s="74" t="inlineStr">
        <is>
          <t>cd=5s/dmg=100%</t>
        </is>
      </c>
    </row>
    <row r="8">
      <c r="B8" s="40" t="inlineStr">
        <is>
          <t>2번 스킬셋 한손검</t>
        </is>
      </c>
      <c r="C8" s="23" t="inlineStr">
        <is>
          <t>W</t>
        </is>
      </c>
      <c r="D8" s="74" t="inlineStr">
        <is>
          <t>100451</t>
        </is>
      </c>
      <c r="E8" s="75" t="inlineStr">
        <is>
          <t>복수의 갑옷</t>
        </is>
      </c>
      <c r="F8" s="75" t="inlineStr">
        <is>
          <t>🟡 Lv.1만 확보</t>
        </is>
      </c>
      <c r="G8" s="74" t="inlineStr">
        <is>
          <t>cd=10s/버프</t>
        </is>
      </c>
    </row>
    <row r="9">
      <c r="B9" s="40" t="inlineStr">
        <is>
          <t>2번 스킬셋 한손검</t>
        </is>
      </c>
      <c r="C9" s="25" t="inlineStr">
        <is>
          <t>E</t>
        </is>
      </c>
      <c r="D9" s="74" t="inlineStr">
        <is>
          <t>100501</t>
        </is>
      </c>
      <c r="E9" s="75" t="inlineStr">
        <is>
          <t>모두 쉿</t>
        </is>
      </c>
      <c r="F9" s="75" t="inlineStr">
        <is>
          <t>🟡 Lv.1만 확보</t>
        </is>
      </c>
      <c r="G9" s="74" t="inlineStr">
        <is>
          <t>cd=15s/MP=50/CC(침묵)</t>
        </is>
      </c>
    </row>
    <row r="10">
      <c r="B10" s="40" t="inlineStr">
        <is>
          <t>2번 스킬셋 한손검</t>
        </is>
      </c>
      <c r="C10" s="27" t="inlineStr">
        <is>
          <t>R</t>
        </is>
      </c>
      <c r="D10" s="74" t="inlineStr">
        <is>
          <t>100551</t>
        </is>
      </c>
      <c r="E10" s="75" t="inlineStr">
        <is>
          <t>진공 폭발</t>
        </is>
      </c>
      <c r="F10" s="75" t="inlineStr">
        <is>
          <t>🟡 Lv.1만 확보</t>
        </is>
      </c>
      <c r="G10" s="74" t="inlineStr">
        <is>
          <t>cd=30s/dmg=300%</t>
        </is>
      </c>
    </row>
    <row r="11">
      <c r="B11" s="40" t="inlineStr">
        <is>
          <t>3번 스킬셋 한손검</t>
        </is>
      </c>
      <c r="C11" s="21" t="inlineStr">
        <is>
          <t>Q</t>
        </is>
      </c>
      <c r="D11" s="74" t="inlineStr">
        <is>
          <t>100601</t>
        </is>
      </c>
      <c r="E11" s="76" t="inlineStr">
        <is>
          <t>성스러운 일격</t>
        </is>
      </c>
      <c r="F11" s="76" t="inlineStr">
        <is>
          <t>⚖️ 균형 추정값</t>
        </is>
      </c>
      <c r="G11" s="74" t="inlineStr">
        <is>
          <t>cd=6s/MP=10/dmg=150%(치명타)</t>
        </is>
      </c>
    </row>
    <row r="12">
      <c r="B12" s="40" t="inlineStr">
        <is>
          <t>3번 스킬셋 한손검</t>
        </is>
      </c>
      <c r="C12" s="23" t="inlineStr">
        <is>
          <t>W</t>
        </is>
      </c>
      <c r="D12" s="74" t="inlineStr">
        <is>
          <t>100651</t>
        </is>
      </c>
      <c r="E12" s="76" t="inlineStr">
        <is>
          <t>가호의 빛</t>
        </is>
      </c>
      <c r="F12" s="76" t="inlineStr">
        <is>
          <t>⚖️ 균형 추정값</t>
        </is>
      </c>
      <c r="G12" s="74" t="inlineStr">
        <is>
          <t>cd=12s/MP=20/dmg=200%+방어버프(+30%/5s)</t>
        </is>
      </c>
    </row>
    <row r="13">
      <c r="B13" s="40" t="inlineStr">
        <is>
          <t>3번 스킬셋 한손검</t>
        </is>
      </c>
      <c r="C13" s="25" t="inlineStr">
        <is>
          <t>E</t>
        </is>
      </c>
      <c r="D13" s="74" t="inlineStr">
        <is>
          <t>100701</t>
        </is>
      </c>
      <c r="E13" s="76" t="inlineStr">
        <is>
          <t>폭주하는 광휘</t>
        </is>
      </c>
      <c r="F13" s="76" t="inlineStr">
        <is>
          <t>⚖️ 균형 추정값</t>
        </is>
      </c>
      <c r="G13" s="74" t="inlineStr">
        <is>
          <t>cd=20s/MP=30/dmg=250%</t>
        </is>
      </c>
    </row>
    <row r="14">
      <c r="B14" s="40" t="inlineStr">
        <is>
          <t>3번 스킬셋 한손검</t>
        </is>
      </c>
      <c r="C14" s="27" t="inlineStr">
        <is>
          <t>R</t>
        </is>
      </c>
      <c r="D14" s="74" t="inlineStr">
        <is>
          <t>100751</t>
        </is>
      </c>
      <c r="E14" s="76" t="inlineStr">
        <is>
          <t>광휘의 심판</t>
        </is>
      </c>
      <c r="F14" s="76" t="inlineStr">
        <is>
          <t>⚖️ 균형 추정값</t>
        </is>
      </c>
      <c r="G14" s="74" t="inlineStr">
        <is>
          <t>cd=45s/MP=100/dmg=500%</t>
        </is>
      </c>
    </row>
    <row r="15">
      <c r="B15" s="27" t="inlineStr">
        <is>
          <t>1번 스킬셋 양손검</t>
        </is>
      </c>
      <c r="C15" s="21" t="inlineStr">
        <is>
          <t>Q</t>
        </is>
      </c>
      <c r="D15" s="28" t="inlineStr">
        <is>
          <t>200401</t>
        </is>
      </c>
      <c r="E15" s="75" t="inlineStr">
        <is>
          <t>폭주</t>
        </is>
      </c>
      <c r="F15" s="75" t="inlineStr">
        <is>
          <t>🟡 Lv.1만 확보</t>
        </is>
      </c>
      <c r="G15" s="28" t="inlineStr">
        <is>
          <t>cd=0s/MP=15/dmg=300%</t>
        </is>
      </c>
    </row>
    <row r="16">
      <c r="B16" s="27" t="inlineStr">
        <is>
          <t>1번 스킬셋 양손검</t>
        </is>
      </c>
      <c r="C16" s="23" t="inlineStr">
        <is>
          <t>W</t>
        </is>
      </c>
      <c r="D16" s="28" t="inlineStr">
        <is>
          <t>200451</t>
        </is>
      </c>
      <c r="E16" s="75" t="inlineStr">
        <is>
          <t>분노의 일격</t>
        </is>
      </c>
      <c r="F16" s="75" t="inlineStr">
        <is>
          <t>🟡 Lv.1만 확보</t>
        </is>
      </c>
      <c r="G16" s="28" t="inlineStr">
        <is>
          <t>cd=10s/버프</t>
        </is>
      </c>
    </row>
    <row r="17">
      <c r="B17" s="27" t="inlineStr">
        <is>
          <t>1번 스킬셋 양손검</t>
        </is>
      </c>
      <c r="C17" s="25" t="inlineStr">
        <is>
          <t>E</t>
        </is>
      </c>
      <c r="D17" s="28" t="inlineStr">
        <is>
          <t>200501</t>
        </is>
      </c>
      <c r="E17" s="75" t="inlineStr">
        <is>
          <t>대지 분쇄</t>
        </is>
      </c>
      <c r="F17" s="75" t="inlineStr">
        <is>
          <t>🟡 Lv.1만 확보</t>
        </is>
      </c>
      <c r="G17" s="28" t="inlineStr">
        <is>
          <t>cd=0s/dmg=50%</t>
        </is>
      </c>
    </row>
    <row r="18">
      <c r="B18" s="27" t="inlineStr">
        <is>
          <t>1번 스킬셋 양손검</t>
        </is>
      </c>
      <c r="C18" s="27" t="inlineStr">
        <is>
          <t>R</t>
        </is>
      </c>
      <c r="D18" s="28" t="inlineStr">
        <is>
          <t>200551</t>
        </is>
      </c>
      <c r="E18" s="75" t="inlineStr">
        <is>
          <t>공간 가르기</t>
        </is>
      </c>
      <c r="F18" s="75" t="inlineStr">
        <is>
          <t>🟡 Lv.1만 확보</t>
        </is>
      </c>
      <c r="G18" s="28" t="inlineStr">
        <is>
          <t>cd=12s/MP=30/dmg=625%</t>
        </is>
      </c>
    </row>
    <row r="19">
      <c r="B19" s="27" t="inlineStr">
        <is>
          <t>2번 스킬셋 양손검</t>
        </is>
      </c>
      <c r="C19" s="21" t="inlineStr">
        <is>
          <t>Q</t>
        </is>
      </c>
      <c r="D19" s="28" t="inlineStr">
        <is>
          <t>200601</t>
        </is>
      </c>
      <c r="E19" s="75" t="inlineStr">
        <is>
          <t>몰아치기</t>
        </is>
      </c>
      <c r="F19" s="75" t="inlineStr">
        <is>
          <t>🟡 Lv.1만 확보</t>
        </is>
      </c>
      <c r="G19" s="28" t="inlineStr">
        <is>
          <t>cd=6s/버프</t>
        </is>
      </c>
    </row>
    <row r="20">
      <c r="B20" s="27" t="inlineStr">
        <is>
          <t>2번 스킬셋 양손검</t>
        </is>
      </c>
      <c r="C20" s="23" t="inlineStr">
        <is>
          <t>W</t>
        </is>
      </c>
      <c r="D20" s="28" t="inlineStr">
        <is>
          <t>200651</t>
        </is>
      </c>
      <c r="E20" s="75" t="inlineStr">
        <is>
          <t>찌르기</t>
        </is>
      </c>
      <c r="F20" s="75" t="inlineStr">
        <is>
          <t>🟡 Lv.1만 확보</t>
        </is>
      </c>
      <c r="G20" s="28" t="inlineStr">
        <is>
          <t>cd=12s/MP=30/dmg=250%</t>
        </is>
      </c>
    </row>
    <row r="21">
      <c r="B21" s="27" t="inlineStr">
        <is>
          <t>2번 스킬셋 양손검</t>
        </is>
      </c>
      <c r="C21" s="25" t="inlineStr">
        <is>
          <t>E</t>
        </is>
      </c>
      <c r="D21" s="28" t="inlineStr">
        <is>
          <t>200701</t>
        </is>
      </c>
      <c r="E21" s="75" t="inlineStr">
        <is>
          <t>결투 돌입</t>
        </is>
      </c>
      <c r="F21" s="75" t="inlineStr">
        <is>
          <t>🟡 Lv.1만 확보</t>
        </is>
      </c>
      <c r="G21" s="28" t="inlineStr">
        <is>
          <t>cd=0s/dmg=150%</t>
        </is>
      </c>
    </row>
    <row r="22">
      <c r="B22" s="27" t="inlineStr">
        <is>
          <t>2번 스킬셋 양손검</t>
        </is>
      </c>
      <c r="C22" s="27" t="inlineStr">
        <is>
          <t>R</t>
        </is>
      </c>
      <c r="D22" s="28" t="inlineStr">
        <is>
          <t>200751</t>
        </is>
      </c>
      <c r="E22" s="75" t="inlineStr">
        <is>
          <t>섬광의 길</t>
        </is>
      </c>
      <c r="F22" s="75" t="inlineStr">
        <is>
          <t>🟡 Lv.1만 확보</t>
        </is>
      </c>
      <c r="G22" s="28" t="inlineStr">
        <is>
          <t>cd=8s/MP=30/dmg=150%</t>
        </is>
      </c>
    </row>
    <row r="23">
      <c r="B23" s="27" t="inlineStr">
        <is>
          <t>3번 스킬셋 양손검</t>
        </is>
      </c>
      <c r="C23" s="21" t="inlineStr">
        <is>
          <t>Q</t>
        </is>
      </c>
      <c r="D23" s="28" t="inlineStr">
        <is>
          <t>200801</t>
        </is>
      </c>
      <c r="E23" s="77" t="inlineStr">
        <is>
          <t>가벼운 손놀림</t>
        </is>
      </c>
      <c r="F23" s="77" t="inlineStr">
        <is>
          <t>✅ 전 레벨 확보</t>
        </is>
      </c>
      <c r="G23" s="28" t="inlineStr">
        <is>
          <t>cd=5s/MP=15/dmg=200%~(강화평타 부여)</t>
        </is>
      </c>
    </row>
    <row r="24">
      <c r="B24" s="27" t="inlineStr">
        <is>
          <t>3번 스킬셋 양손검</t>
        </is>
      </c>
      <c r="C24" s="23" t="inlineStr">
        <is>
          <t>W</t>
        </is>
      </c>
      <c r="D24" s="28" t="inlineStr">
        <is>
          <t>200851</t>
        </is>
      </c>
      <c r="E24" s="77" t="inlineStr">
        <is>
          <t>대지 가르기</t>
        </is>
      </c>
      <c r="F24" s="77" t="inlineStr">
        <is>
          <t>✅ 전 레벨 확보</t>
        </is>
      </c>
      <c r="G24" s="28" t="inlineStr">
        <is>
          <t>cd=12s/MP=30/dmg=250%~</t>
        </is>
      </c>
    </row>
    <row r="25">
      <c r="B25" s="27" t="inlineStr">
        <is>
          <t>3번 스킬셋 양손검</t>
        </is>
      </c>
      <c r="C25" s="25" t="inlineStr">
        <is>
          <t>E</t>
        </is>
      </c>
      <c r="D25" s="28" t="inlineStr">
        <is>
          <t>200901</t>
        </is>
      </c>
      <c r="E25" s="77" t="inlineStr">
        <is>
          <t>휘몰이</t>
        </is>
      </c>
      <c r="F25" s="77" t="inlineStr">
        <is>
          <t>✅ 전 레벨 확보</t>
        </is>
      </c>
      <c r="G25" s="28" t="inlineStr">
        <is>
          <t>cd=15s/6-hit/MP=25/dmg=300%~</t>
        </is>
      </c>
    </row>
    <row r="26">
      <c r="B26" s="27" t="inlineStr">
        <is>
          <t>3번 스킬셋 양손검</t>
        </is>
      </c>
      <c r="C26" s="27" t="inlineStr">
        <is>
          <t>R</t>
        </is>
      </c>
      <c r="D26" s="28" t="inlineStr">
        <is>
          <t>200951</t>
        </is>
      </c>
      <c r="E26" s="77" t="inlineStr">
        <is>
          <t>적진으로</t>
        </is>
      </c>
      <c r="F26" s="77" t="inlineStr">
        <is>
          <t>✅ 전 레벨 확보</t>
        </is>
      </c>
      <c r="G26" s="28" t="inlineStr">
        <is>
          <t>cd=40s/MP=100/dmg=400%~</t>
        </is>
      </c>
    </row>
    <row r="27">
      <c r="B27" s="78" t="inlineStr">
        <is>
          <t>1번 스킬셋 지팡이</t>
        </is>
      </c>
      <c r="C27" s="21" t="inlineStr">
        <is>
          <t>Q</t>
        </is>
      </c>
      <c r="D27" s="79" t="inlineStr">
        <is>
          <t>400201</t>
        </is>
      </c>
      <c r="E27" s="75" t="inlineStr">
        <is>
          <t>화염 장막</t>
        </is>
      </c>
      <c r="F27" s="75" t="inlineStr">
        <is>
          <t>🟡 Lv.1만 확보</t>
        </is>
      </c>
      <c r="G27" s="79" t="inlineStr">
        <is>
          <t>cd=8s/DoT 6틱 합산=216%</t>
        </is>
      </c>
    </row>
    <row r="28">
      <c r="B28" s="78" t="inlineStr">
        <is>
          <t>1번 스킬셋 지팡이</t>
        </is>
      </c>
      <c r="C28" s="23" t="inlineStr">
        <is>
          <t>W</t>
        </is>
      </c>
      <c r="D28" s="79" t="inlineStr">
        <is>
          <t>400251</t>
        </is>
      </c>
      <c r="E28" s="75" t="inlineStr">
        <is>
          <t>불의 비</t>
        </is>
      </c>
      <c r="F28" s="75" t="inlineStr">
        <is>
          <t>🟡 Lv.1만 확보</t>
        </is>
      </c>
      <c r="G28" s="79" t="inlineStr">
        <is>
          <t>cd=15s/MP=50/dmg=400%</t>
        </is>
      </c>
    </row>
    <row r="29">
      <c r="B29" s="78" t="inlineStr">
        <is>
          <t>1번 스킬셋 지팡이</t>
        </is>
      </c>
      <c r="C29" s="25" t="inlineStr">
        <is>
          <t>E</t>
        </is>
      </c>
      <c r="D29" s="79" t="inlineStr">
        <is>
          <t>400301</t>
        </is>
      </c>
      <c r="E29" s="75" t="inlineStr">
        <is>
          <t>화염 폭발</t>
        </is>
      </c>
      <c r="F29" s="75" t="inlineStr">
        <is>
          <t>🟡 Lv.1만 확보</t>
        </is>
      </c>
      <c r="G29" s="79" t="inlineStr">
        <is>
          <t>cd=20s/MP=20/dmg=200%</t>
        </is>
      </c>
    </row>
    <row r="30">
      <c r="B30" s="78" t="inlineStr">
        <is>
          <t>1번 스킬셋 지팡이</t>
        </is>
      </c>
      <c r="C30" s="27" t="inlineStr">
        <is>
          <t>R</t>
        </is>
      </c>
      <c r="D30" s="79" t="inlineStr">
        <is>
          <t>400351</t>
        </is>
      </c>
      <c r="E30" s="75" t="inlineStr">
        <is>
          <t>별똥별</t>
        </is>
      </c>
      <c r="F30" s="75" t="inlineStr">
        <is>
          <t>🟡 Lv.1만 확보</t>
        </is>
      </c>
      <c r="G30" s="79" t="inlineStr">
        <is>
          <t>cd=40s/MP=100/dmg=600%</t>
        </is>
      </c>
    </row>
    <row r="31">
      <c r="B31" s="78" t="inlineStr">
        <is>
          <t>2번 스킬셋 지팡이</t>
        </is>
      </c>
      <c r="C31" s="21" t="inlineStr">
        <is>
          <t>Q</t>
        </is>
      </c>
      <c r="D31" s="79" t="inlineStr">
        <is>
          <t>100001</t>
        </is>
      </c>
      <c r="E31" s="77" t="inlineStr">
        <is>
          <t>신비한 가시 나무</t>
        </is>
      </c>
      <c r="F31" s="77" t="inlineStr">
        <is>
          <t>✅ 전 레벨 확보</t>
        </is>
      </c>
      <c r="G31" s="79" t="inlineStr">
        <is>
          <t>cd=8s/DoT 6틱 합산=216~360%</t>
        </is>
      </c>
    </row>
    <row r="32">
      <c r="B32" s="78" t="inlineStr">
        <is>
          <t>2번 스킬셋 지팡이</t>
        </is>
      </c>
      <c r="C32" s="23" t="inlineStr">
        <is>
          <t>W</t>
        </is>
      </c>
      <c r="D32" s="79" t="inlineStr">
        <is>
          <t>100051</t>
        </is>
      </c>
      <c r="E32" s="77" t="inlineStr">
        <is>
          <t>가시 나무 덩쿨</t>
        </is>
      </c>
      <c r="F32" s="77" t="inlineStr">
        <is>
          <t>✅ 전 레벨 확보</t>
        </is>
      </c>
      <c r="G32" s="79" t="inlineStr">
        <is>
          <t>cd=12s/CC+dmg=250~330%</t>
        </is>
      </c>
    </row>
    <row r="33">
      <c r="B33" s="78" t="inlineStr">
        <is>
          <t>2번 스킬셋 지팡이</t>
        </is>
      </c>
      <c r="C33" s="25" t="inlineStr">
        <is>
          <t>E</t>
        </is>
      </c>
      <c r="D33" s="79" t="inlineStr">
        <is>
          <t>100101</t>
        </is>
      </c>
      <c r="E33" s="77" t="inlineStr">
        <is>
          <t>치유의 꽃잎</t>
        </is>
      </c>
      <c r="F33" s="77" t="inlineStr">
        <is>
          <t>✅ 전 레벨 확보</t>
        </is>
      </c>
      <c r="G33" s="79" t="inlineStr">
        <is>
          <t>cd=1s/힐</t>
        </is>
      </c>
    </row>
    <row r="34">
      <c r="B34" s="78" t="inlineStr">
        <is>
          <t>2번 스킬셋 지팡이</t>
        </is>
      </c>
      <c r="C34" s="27" t="inlineStr">
        <is>
          <t>R</t>
        </is>
      </c>
      <c r="D34" s="79" t="inlineStr">
        <is>
          <t>100150</t>
        </is>
      </c>
      <c r="E34" s="77" t="inlineStr">
        <is>
          <t>치유의 바람</t>
        </is>
      </c>
      <c r="F34" s="77" t="inlineStr">
        <is>
          <t>✅ 전 레벨 확보</t>
        </is>
      </c>
      <c r="G34" s="79" t="inlineStr">
        <is>
          <t>cd=30s/힐DoT</t>
        </is>
      </c>
    </row>
    <row r="35">
      <c r="B35" s="78" t="inlineStr">
        <is>
          <t>3번 스킬셋 지팡이</t>
        </is>
      </c>
      <c r="C35" s="21" t="inlineStr">
        <is>
          <t>Q</t>
        </is>
      </c>
      <c r="D35" s="79" t="inlineStr">
        <is>
          <t>400601</t>
        </is>
      </c>
      <c r="E35" s="77" t="inlineStr">
        <is>
          <t>얼음 화살</t>
        </is>
      </c>
      <c r="F35" s="77" t="inlineStr">
        <is>
          <t>✅ 전 레벨 확보</t>
        </is>
      </c>
      <c r="G35" s="79" t="inlineStr">
        <is>
          <t>cd=4~3s/MP=20~30/dmg=200%~280%</t>
        </is>
      </c>
    </row>
    <row r="36">
      <c r="B36" s="78" t="inlineStr">
        <is>
          <t>3번 스킬셋 지팡이</t>
        </is>
      </c>
      <c r="C36" s="23" t="inlineStr">
        <is>
          <t>W</t>
        </is>
      </c>
      <c r="D36" s="79" t="inlineStr">
        <is>
          <t>400651</t>
        </is>
      </c>
      <c r="E36" s="77" t="inlineStr">
        <is>
          <t>다후타의 손짓</t>
        </is>
      </c>
      <c r="F36" s="77" t="inlineStr">
        <is>
          <t>✅ 전 레벨 확보</t>
        </is>
      </c>
      <c r="G36" s="79" t="inlineStr">
        <is>
          <t>cd=15s/DoT 5틱=400~560%</t>
        </is>
      </c>
    </row>
    <row r="37">
      <c r="B37" s="78" t="inlineStr">
        <is>
          <t>3번 스킬셋 지팡이</t>
        </is>
      </c>
      <c r="C37" s="25" t="inlineStr">
        <is>
          <t>E</t>
        </is>
      </c>
      <c r="D37" s="79" t="inlineStr">
        <is>
          <t>400701</t>
        </is>
      </c>
      <c r="E37" s="77" t="inlineStr">
        <is>
          <t>심판의 낙뢰</t>
        </is>
      </c>
      <c r="F37" s="77" t="inlineStr">
        <is>
          <t>✅ 전 레벨 확보</t>
        </is>
      </c>
      <c r="G37" s="79" t="inlineStr">
        <is>
          <t>cd=40~32s/2-hit=600~840%</t>
        </is>
      </c>
    </row>
    <row r="38">
      <c r="B38" s="78" t="inlineStr">
        <is>
          <t>3번 스킬셋 지팡이</t>
        </is>
      </c>
      <c r="C38" s="27" t="inlineStr">
        <is>
          <t>R</t>
        </is>
      </c>
      <c r="D38" s="79" t="inlineStr">
        <is>
          <t>400751</t>
        </is>
      </c>
      <c r="E38" s="77" t="inlineStr">
        <is>
          <t>방울방울</t>
        </is>
      </c>
      <c r="F38" s="77" t="inlineStr">
        <is>
          <t>✅ 전 레벨 확보</t>
        </is>
      </c>
      <c r="G38" s="79" t="inlineStr">
        <is>
          <t>cd=20s/CC(부유)/MP=100/dmg=300%~420%</t>
        </is>
      </c>
    </row>
    <row r="39">
      <c r="B39" s="80" t="inlineStr">
        <is>
          <t>1번 스킬셋 단검</t>
        </is>
      </c>
      <c r="C39" s="21" t="inlineStr">
        <is>
          <t>Q</t>
        </is>
      </c>
      <c r="D39" s="81" t="inlineStr">
        <is>
          <t>500401</t>
        </is>
      </c>
      <c r="E39" s="75" t="inlineStr">
        <is>
          <t>질풍 가르기</t>
        </is>
      </c>
      <c r="F39" s="75" t="inlineStr">
        <is>
          <t>🟡 Lv.1만 확보</t>
        </is>
      </c>
      <c r="G39" s="81" t="inlineStr">
        <is>
          <t>cd=5s/MP=30/dmg=150%</t>
        </is>
      </c>
    </row>
    <row r="40">
      <c r="B40" s="80" t="inlineStr">
        <is>
          <t>1번 스킬셋 단검</t>
        </is>
      </c>
      <c r="C40" s="23" t="inlineStr">
        <is>
          <t>W</t>
        </is>
      </c>
      <c r="D40" s="81" t="inlineStr">
        <is>
          <t>500451</t>
        </is>
      </c>
      <c r="E40" s="75" t="inlineStr">
        <is>
          <t>무기 연마</t>
        </is>
      </c>
      <c r="F40" s="75" t="inlineStr">
        <is>
          <t>🟡 Lv.1만 확보</t>
        </is>
      </c>
      <c r="G40" s="81" t="inlineStr">
        <is>
          <t>cd=10s/버프(공격속도)</t>
        </is>
      </c>
    </row>
    <row r="41">
      <c r="B41" s="80" t="inlineStr">
        <is>
          <t>1번 스킬셋 단검</t>
        </is>
      </c>
      <c r="C41" s="25" t="inlineStr">
        <is>
          <t>E</t>
        </is>
      </c>
      <c r="D41" s="81" t="inlineStr">
        <is>
          <t>500501</t>
        </is>
      </c>
      <c r="E41" s="75" t="inlineStr">
        <is>
          <t>어둠의 일격</t>
        </is>
      </c>
      <c r="F41" s="75" t="inlineStr">
        <is>
          <t>🟡 Lv.1만 확보</t>
        </is>
      </c>
      <c r="G41" s="81" t="inlineStr">
        <is>
          <t>cd=15s/MP=15/dmg=300%</t>
        </is>
      </c>
    </row>
    <row r="42">
      <c r="B42" s="80" t="inlineStr">
        <is>
          <t>1번 스킬셋 단검</t>
        </is>
      </c>
      <c r="C42" s="27" t="inlineStr">
        <is>
          <t>R</t>
        </is>
      </c>
      <c r="D42" s="81" t="inlineStr">
        <is>
          <t>500551</t>
        </is>
      </c>
      <c r="E42" s="75" t="inlineStr">
        <is>
          <t>암살자의 분노</t>
        </is>
      </c>
      <c r="F42" s="75" t="inlineStr">
        <is>
          <t>🟡 Lv.1만 확보</t>
        </is>
      </c>
      <c r="G42" s="81" t="inlineStr">
        <is>
          <t>cd=40s/MP=100/버프</t>
        </is>
      </c>
    </row>
    <row r="43">
      <c r="B43" s="80" t="inlineStr">
        <is>
          <t>2번 스킬셋 단검</t>
        </is>
      </c>
      <c r="C43" s="21" t="inlineStr">
        <is>
          <t>Q</t>
        </is>
      </c>
      <c r="D43" s="81" t="inlineStr">
        <is>
          <t>500601</t>
        </is>
      </c>
      <c r="E43" s="76" t="inlineStr">
        <is>
          <t>그림자 매</t>
        </is>
      </c>
      <c r="F43" s="76" t="inlineStr">
        <is>
          <t>⚖️ 균형 추정값</t>
        </is>
      </c>
      <c r="G43" s="81" t="inlineStr">
        <is>
          <t>cd=5s/MP=20/dmg=150%</t>
        </is>
      </c>
    </row>
    <row r="44">
      <c r="B44" s="80" t="inlineStr">
        <is>
          <t>2번 스킬셋 단검</t>
        </is>
      </c>
      <c r="C44" s="23" t="inlineStr">
        <is>
          <t>W</t>
        </is>
      </c>
      <c r="D44" s="81" t="inlineStr">
        <is>
          <t>500651</t>
        </is>
      </c>
      <c r="E44" s="77" t="inlineStr">
        <is>
          <t>쌍수 달인</t>
        </is>
      </c>
      <c r="F44" s="77" t="inlineStr">
        <is>
          <t>✅ 전 레벨 확보</t>
        </is>
      </c>
      <c r="G44" s="81" t="inlineStr">
        <is>
          <t>cd=12s/버프(공격속도)</t>
        </is>
      </c>
    </row>
    <row r="45">
      <c r="B45" s="80" t="inlineStr">
        <is>
          <t>2번 스킬셋 단검</t>
        </is>
      </c>
      <c r="C45" s="25" t="inlineStr">
        <is>
          <t>E</t>
        </is>
      </c>
      <c r="D45" s="81" t="inlineStr">
        <is>
          <t>500701</t>
        </is>
      </c>
      <c r="E45" s="76" t="inlineStr">
        <is>
          <t>진격</t>
        </is>
      </c>
      <c r="F45" s="76" t="inlineStr">
        <is>
          <t>⚖️ 균형 추정값</t>
        </is>
      </c>
      <c r="G45" s="81" t="inlineStr">
        <is>
          <t>cd=12s/MP=25/dmg=200%</t>
        </is>
      </c>
    </row>
    <row r="46">
      <c r="B46" s="80" t="inlineStr">
        <is>
          <t>2번 스킬셋 단검</t>
        </is>
      </c>
      <c r="C46" s="27" t="inlineStr">
        <is>
          <t>R</t>
        </is>
      </c>
      <c r="D46" s="81" t="inlineStr">
        <is>
          <t>500751</t>
        </is>
      </c>
      <c r="E46" s="76" t="inlineStr">
        <is>
          <t>전율하는 매</t>
        </is>
      </c>
      <c r="F46" s="76" t="inlineStr">
        <is>
          <t>⚖️ 균형 추정값</t>
        </is>
      </c>
      <c r="G46" s="81" t="inlineStr">
        <is>
          <t>cd=30s/MP=60/dmg=300%</t>
        </is>
      </c>
    </row>
    <row r="47">
      <c r="B47" s="80" t="inlineStr">
        <is>
          <t>3번 스킬셋 단검</t>
        </is>
      </c>
      <c r="C47" s="21" t="inlineStr">
        <is>
          <t>Q</t>
        </is>
      </c>
      <c r="D47" s="81" t="inlineStr">
        <is>
          <t>500601</t>
        </is>
      </c>
      <c r="E47" s="77" t="inlineStr">
        <is>
          <t>추격자의 발톱</t>
        </is>
      </c>
      <c r="F47" s="77" t="inlineStr">
        <is>
          <t>✅ 전 레벨 확보</t>
        </is>
      </c>
      <c r="G47" s="81" t="inlineStr">
        <is>
          <t>cd=6~4s/MP=15~20/dmg=220%~308%(치명타)</t>
        </is>
      </c>
    </row>
    <row r="48">
      <c r="B48" s="80" t="inlineStr">
        <is>
          <t>3번 스킬셋 단검</t>
        </is>
      </c>
      <c r="C48" s="23" t="inlineStr">
        <is>
          <t>W</t>
        </is>
      </c>
      <c r="D48" s="81" t="inlineStr">
        <is>
          <t>500651</t>
        </is>
      </c>
      <c r="E48" s="77" t="inlineStr">
        <is>
          <t>침묵의 일격</t>
        </is>
      </c>
      <c r="F48" s="77" t="inlineStr">
        <is>
          <t>✅ 전 레벨 확보</t>
        </is>
      </c>
      <c r="G48" s="81" t="inlineStr">
        <is>
          <t>cd=13s/MP=30~35/버프(공속+45%)+dmg=120%~168%</t>
        </is>
      </c>
    </row>
    <row r="49">
      <c r="B49" s="80" t="inlineStr">
        <is>
          <t>3번 스킬셋 단검</t>
        </is>
      </c>
      <c r="C49" s="25" t="inlineStr">
        <is>
          <t>E</t>
        </is>
      </c>
      <c r="D49" s="81" t="inlineStr">
        <is>
          <t>500701</t>
        </is>
      </c>
      <c r="E49" s="77" t="inlineStr">
        <is>
          <t>사방의 비수</t>
        </is>
      </c>
      <c r="F49" s="77" t="inlineStr">
        <is>
          <t>✅ 전 레벨 확보</t>
        </is>
      </c>
      <c r="G49" s="81" t="inlineStr">
        <is>
          <t>cd=15~11s/MP=40~55/dmg=250%~350%</t>
        </is>
      </c>
    </row>
    <row r="50">
      <c r="B50" s="80" t="inlineStr">
        <is>
          <t>3번 스킬셋 단검</t>
        </is>
      </c>
      <c r="C50" s="27" t="inlineStr">
        <is>
          <t>R</t>
        </is>
      </c>
      <c r="D50" s="81" t="inlineStr">
        <is>
          <t>500751</t>
        </is>
      </c>
      <c r="E50" s="77" t="inlineStr">
        <is>
          <t>유혈의 장막</t>
        </is>
      </c>
      <c r="F50" s="77" t="inlineStr">
        <is>
          <t>✅ 전 레벨 확보</t>
        </is>
      </c>
      <c r="G50" s="81" t="inlineStr">
        <is>
          <t>cd=40~32s/MP=100~140/dmg=500%~700%</t>
        </is>
      </c>
    </row>
    <row r="51" ht="17.1" customHeight="1" s="133">
      <c r="A51" s="82" t="n"/>
      <c r="B51" s="82" t="inlineStr">
        <is>
          <t>1번 스킬셋 활</t>
        </is>
      </c>
      <c r="C51" s="82" t="inlineStr">
        <is>
          <t>Q</t>
        </is>
      </c>
      <c r="D51" s="82" t="inlineStr">
        <is>
          <t>300401</t>
        </is>
      </c>
      <c r="E51" s="82" t="inlineStr">
        <is>
          <t>저격</t>
        </is>
      </c>
      <c r="F51" s="82" t="inlineStr">
        <is>
          <t>🟡 Lv.1만 확보</t>
        </is>
      </c>
      <c r="G51" t="inlineStr">
        <is>
          <t>cd=5s/MP=30/dmg=165%+25%</t>
        </is>
      </c>
    </row>
    <row r="52" ht="17.1" customHeight="1" s="133">
      <c r="A52" s="83" t="n"/>
      <c r="B52" s="83" t="inlineStr">
        <is>
          <t>1번 스킬셋 활</t>
        </is>
      </c>
      <c r="C52" s="83" t="inlineStr">
        <is>
          <t>W</t>
        </is>
      </c>
      <c r="D52" s="83" t="inlineStr">
        <is>
          <t>300451</t>
        </is>
      </c>
      <c r="E52" s="83" t="inlineStr">
        <is>
          <t>부채 사격</t>
        </is>
      </c>
      <c r="F52" s="83" t="inlineStr">
        <is>
          <t>🟡 Lv.1만 확보</t>
        </is>
      </c>
      <c r="G52" t="inlineStr">
        <is>
          <t>cd=12s/MP=30/dmg=225%/느려짐+밀어냄</t>
        </is>
      </c>
    </row>
    <row r="53" ht="17.1" customHeight="1" s="133">
      <c r="A53" s="82" t="n"/>
      <c r="B53" s="82" t="inlineStr">
        <is>
          <t>1번 스킬셋 활</t>
        </is>
      </c>
      <c r="C53" s="82" t="inlineStr">
        <is>
          <t>E</t>
        </is>
      </c>
      <c r="D53" s="82" t="inlineStr">
        <is>
          <t>300501</t>
        </is>
      </c>
      <c r="E53" s="82" t="inlineStr">
        <is>
          <t>불화살 소나기</t>
        </is>
      </c>
      <c r="F53" s="82" t="inlineStr">
        <is>
          <t>🟡 Lv.1만 확보</t>
        </is>
      </c>
      <c r="G53" t="inlineStr">
        <is>
          <t>cd=15s/MP=30/60%×5=300%/Pos</t>
        </is>
      </c>
    </row>
    <row r="54" ht="17.1" customHeight="1" s="133">
      <c r="A54" s="83" t="n"/>
      <c r="B54" s="83" t="inlineStr">
        <is>
          <t>1번 스킬셋 활</t>
        </is>
      </c>
      <c r="C54" s="83" t="inlineStr">
        <is>
          <t>R</t>
        </is>
      </c>
      <c r="D54" s="83" t="inlineStr">
        <is>
          <t>300551</t>
        </is>
      </c>
      <c r="E54" s="83" t="inlineStr">
        <is>
          <t>폭탄 화살</t>
        </is>
      </c>
      <c r="F54" s="83" t="inlineStr">
        <is>
          <t>🟡 Lv.1만 확보</t>
        </is>
      </c>
      <c r="G54" t="inlineStr">
        <is>
          <t>cd=50s/MP=100/500%×2=1000%/기절</t>
        </is>
      </c>
    </row>
    <row r="55" ht="17.1" customHeight="1" s="133">
      <c r="A55" s="82" t="n"/>
      <c r="B55" s="82" t="inlineStr">
        <is>
          <t>2번 스킬셋 활</t>
        </is>
      </c>
      <c r="C55" s="82" t="inlineStr">
        <is>
          <t>Q</t>
        </is>
      </c>
      <c r="D55" s="82" t="inlineStr">
        <is>
          <t>300601</t>
        </is>
      </c>
      <c r="E55" s="82" t="inlineStr">
        <is>
          <t>섬광 화살</t>
        </is>
      </c>
      <c r="F55" s="82" t="inlineStr">
        <is>
          <t>🟡 Lv.1만 확보</t>
        </is>
      </c>
      <c r="G55" t="inlineStr">
        <is>
          <t>cd=4s/MP=25/dmg=150%(적) + 강화평타200%(아군)</t>
        </is>
      </c>
    </row>
    <row r="56" ht="17.1" customHeight="1" s="133">
      <c r="A56" s="83" t="n"/>
      <c r="B56" s="83" t="inlineStr">
        <is>
          <t>2번 스킬셋 활</t>
        </is>
      </c>
      <c r="C56" s="83" t="inlineStr">
        <is>
          <t>W</t>
        </is>
      </c>
      <c r="D56" s="83" t="inlineStr">
        <is>
          <t>300651</t>
        </is>
      </c>
      <c r="E56" s="83" t="inlineStr">
        <is>
          <t>천상의 그물</t>
        </is>
      </c>
      <c r="F56" s="83" t="inlineStr">
        <is>
          <t>🟡 Lv.1만 확보</t>
        </is>
      </c>
      <c r="G56" t="inlineStr">
        <is>
          <t>cd=10s/MP=30/dmg=200%/느려짐</t>
        </is>
      </c>
    </row>
    <row r="57" ht="17.1" customHeight="1" s="133">
      <c r="A57" s="82" t="n"/>
      <c r="B57" s="82" t="inlineStr">
        <is>
          <t>2번 스킬셋 활</t>
        </is>
      </c>
      <c r="C57" s="82" t="inlineStr">
        <is>
          <t>E</t>
        </is>
      </c>
      <c r="D57" s="82" t="inlineStr">
        <is>
          <t>300701</t>
        </is>
      </c>
      <c r="E57" s="82" t="inlineStr">
        <is>
          <t>재정비 도약</t>
        </is>
      </c>
      <c r="F57" s="82" t="inlineStr">
        <is>
          <t>🟡 Lv.1만 확보</t>
        </is>
      </c>
      <c r="G57" t="inlineStr">
        <is>
          <t>cd=0s(서브)/MP=15/이동스킬/피해없음</t>
        </is>
      </c>
    </row>
    <row r="58" ht="17.1" customHeight="1" s="133">
      <c r="A58" s="83" t="n"/>
      <c r="B58" s="83" t="inlineStr">
        <is>
          <t>2번 스킬셋 활</t>
        </is>
      </c>
      <c r="C58" s="83" t="inlineStr">
        <is>
          <t>R</t>
        </is>
      </c>
      <c r="D58" s="83" t="inlineStr">
        <is>
          <t>300751</t>
        </is>
      </c>
      <c r="E58" s="83" t="inlineStr">
        <is>
          <t>금빛 성광</t>
        </is>
      </c>
      <c r="F58" s="83" t="inlineStr">
        <is>
          <t>🟡 Lv.1만 확보</t>
        </is>
      </c>
      <c r="G58" t="inlineStr">
        <is>
          <t>cd=30s/MP=80/dmg=400%/캐스팅1s/보호막</t>
        </is>
      </c>
    </row>
    <row r="59" ht="17.1" customHeight="1" s="133">
      <c r="A59" s="82" t="n"/>
      <c r="B59" s="82" t="inlineStr">
        <is>
          <t>3번 스킬셋 활</t>
        </is>
      </c>
      <c r="C59" s="82" t="inlineStr">
        <is>
          <t>Q</t>
        </is>
      </c>
      <c r="D59" s="82" t="inlineStr">
        <is>
          <t>300001</t>
        </is>
      </c>
      <c r="E59" s="82" t="inlineStr">
        <is>
          <t>충격 사격</t>
        </is>
      </c>
      <c r="F59" s="82" t="inlineStr">
        <is>
          <t>✅ 전 레벨 확보</t>
        </is>
      </c>
      <c r="G59" t="inlineStr">
        <is>
          <t>cd=5~3s/MP=10~15/dmg=220%~308%(치명타)</t>
        </is>
      </c>
    </row>
    <row r="60" ht="17.1" customHeight="1" s="133">
      <c r="A60" s="83" t="n"/>
      <c r="B60" s="83" t="inlineStr">
        <is>
          <t>3번 스킬셋 활</t>
        </is>
      </c>
      <c r="C60" s="83" t="inlineStr">
        <is>
          <t>W</t>
        </is>
      </c>
      <c r="D60" s="83" t="inlineStr">
        <is>
          <t>300301</t>
        </is>
      </c>
      <c r="E60" s="83" t="inlineStr">
        <is>
          <t>연속 쏘기</t>
        </is>
      </c>
      <c r="F60" s="83" t="inlineStr">
        <is>
          <t>✅ 전 레벨 확보</t>
        </is>
      </c>
      <c r="G60" t="inlineStr">
        <is>
          <t>cd=12~8s/MP=20~30/dmg=280%~392%</t>
        </is>
      </c>
    </row>
    <row r="61" ht="17.1" customHeight="1" s="133">
      <c r="A61" s="82" t="n"/>
      <c r="B61" s="82" t="inlineStr">
        <is>
          <t>3번 스킬셋 활</t>
        </is>
      </c>
      <c r="C61" s="82" t="inlineStr">
        <is>
          <t>E</t>
        </is>
      </c>
      <c r="D61" s="82" t="inlineStr">
        <is>
          <t>300151</t>
        </is>
      </c>
      <c r="E61" s="82" t="inlineStr">
        <is>
          <t>급습</t>
        </is>
      </c>
      <c r="F61" s="82" t="inlineStr">
        <is>
          <t>✅ 전 레벨 확보</t>
        </is>
      </c>
      <c r="G61" t="inlineStr">
        <is>
          <t>cd=20~16s/MP=30~45/공속+50%~70%+dmg=350%~490%</t>
        </is>
      </c>
    </row>
    <row r="62" ht="17.1" customHeight="1" s="133">
      <c r="A62" s="83" t="n"/>
      <c r="B62" s="83" t="inlineStr">
        <is>
          <t>3번 스킬셋 활</t>
        </is>
      </c>
      <c r="C62" s="83" t="inlineStr">
        <is>
          <t>R</t>
        </is>
      </c>
      <c r="D62" s="83" t="inlineStr">
        <is>
          <t>300051</t>
        </is>
      </c>
      <c r="E62" s="83" t="inlineStr">
        <is>
          <t>발묶음</t>
        </is>
      </c>
      <c r="F62" s="83" t="inlineStr">
        <is>
          <t>✅ 전 레벨 확보</t>
        </is>
      </c>
      <c r="G62" t="inlineStr">
        <is>
          <t>cd=45~37s/MP=100~140/CC(속박)+dmg=500%~700%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2026-03-05T05:06:50Z</dcterms:created>
  <dcterms:modified xmlns:dcterms="http://purl.org/dc/terms/" xmlns:xsi="http://www.w3.org/2001/XMLSchema-instance" xsi:type="dcterms:W3CDTF">2026-03-20T08:19:47Z</dcterms:modified>
  <cp:lastModifiedBy>황보영</cp:lastModifiedBy>
</cp:coreProperties>
</file>