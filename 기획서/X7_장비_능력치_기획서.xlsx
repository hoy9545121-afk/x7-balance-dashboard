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설계 의도" sheetId="1" state="visible" r:id="rId1"/>
    <sheet xmlns:r="http://schemas.openxmlformats.org/officeDocument/2006/relationships" name="⚔ 무기 공격력" sheetId="2" state="visible" r:id="rId2"/>
    <sheet xmlns:r="http://schemas.openxmlformats.org/officeDocument/2006/relationships" name="🛡 방어구 방어력" sheetId="3" state="visible" r:id="rId3"/>
    <sheet xmlns:r="http://schemas.openxmlformats.org/officeDocument/2006/relationships" name="💍 악세사리" sheetId="4" state="visible" r:id="rId4"/>
    <sheet xmlns:r="http://schemas.openxmlformats.org/officeDocument/2006/relationships" name="📌 스탯 캡 &amp; 공식" sheetId="5" state="visible" r:id="rId5"/>
    <sheet xmlns:r="http://schemas.openxmlformats.org/officeDocument/2006/relationships" name="⚡ 추가옵션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7">
    <font>
      <name val="Calibri"/>
      <family val="2"/>
      <color theme="1"/>
      <sz val="11"/>
      <scheme val="minor"/>
    </font>
    <font>
      <name val="맑은 고딕"/>
      <b val="1"/>
      <color rgb="00F5D878"/>
      <sz val="14"/>
    </font>
    <font>
      <name val="맑은 고딕"/>
      <b val="1"/>
      <color rgb="00E8C050"/>
      <sz val="11"/>
    </font>
    <font>
      <name val="맑은 고딕"/>
      <b val="1"/>
      <color rgb="00EEE8D8"/>
      <sz val="10"/>
    </font>
    <font>
      <name val="맑은 고딕"/>
      <color rgb="00EEE8D8"/>
      <sz val="10"/>
    </font>
    <font>
      <name val="맑은 고딕"/>
      <b val="1"/>
      <color rgb="00F5D878"/>
      <sz val="13"/>
    </font>
    <font>
      <name val="맑은 고딕"/>
      <color rgb="007A6A5A"/>
      <sz val="9"/>
    </font>
    <font>
      <name val="맑은 고딕"/>
      <b val="1"/>
      <color rgb="008A9BB0"/>
      <sz val="9"/>
    </font>
    <font>
      <name val="맑은 고딕"/>
      <b val="1"/>
      <color rgb="0050C870"/>
      <sz val="9"/>
    </font>
    <font>
      <name val="맑은 고딕"/>
      <b val="1"/>
      <color rgb="004090F0"/>
      <sz val="9"/>
    </font>
    <font>
      <name val="맑은 고딕"/>
      <b val="1"/>
      <color rgb="00C89040"/>
      <sz val="9"/>
    </font>
    <font>
      <name val="맑은 고딕"/>
      <b val="1"/>
      <color rgb="00A04BE8"/>
      <sz val="9"/>
    </font>
    <font>
      <name val="맑은 고딕"/>
      <b val="1"/>
      <color rgb="00E84B4B"/>
      <sz val="9"/>
    </font>
    <font>
      <name val="맑은 고딕"/>
      <b val="1"/>
      <color rgb="00E8C050"/>
      <sz val="9"/>
    </font>
    <font>
      <name val="맑은 고딕"/>
      <b val="1"/>
      <color rgb="00E8C050"/>
      <sz val="10"/>
    </font>
    <font>
      <name val="맑은 고딕"/>
      <color rgb="009A7A28"/>
      <sz val="9"/>
    </font>
    <font>
      <name val="맑은 고딕"/>
      <b val="1"/>
      <color rgb="008A9BB0"/>
      <sz val="10"/>
    </font>
    <font>
      <name val="맑은 고딕"/>
      <b val="1"/>
      <color rgb="0050C870"/>
      <sz val="10"/>
    </font>
    <font>
      <name val="맑은 고딕"/>
      <b val="1"/>
      <color rgb="004090F0"/>
      <sz val="10"/>
    </font>
    <font>
      <name val="맑은 고딕"/>
      <b val="1"/>
      <color rgb="00C89040"/>
      <sz val="10"/>
    </font>
    <font>
      <name val="맑은 고딕"/>
      <b val="1"/>
      <color rgb="00A04BE8"/>
      <sz val="10"/>
    </font>
    <font>
      <name val="맑은 고딕"/>
      <b val="1"/>
      <color rgb="00E84B4B"/>
      <sz val="10"/>
    </font>
    <font>
      <name val="맑은 고딕"/>
      <color rgb="00EEE8D8"/>
      <sz val="9"/>
    </font>
    <font>
      <name val="맑은 고딕"/>
      <color rgb="0050C870"/>
      <sz val="9"/>
    </font>
    <font>
      <name val="맑은 고딕"/>
      <color rgb="002E2E3A"/>
      <sz val="10"/>
    </font>
    <font>
      <name val="맑은 고딕"/>
      <b val="1"/>
      <color rgb="007DCC50"/>
      <sz val="10"/>
    </font>
    <font>
      <name val="맑은 고딕"/>
      <color rgb="004090F0"/>
      <sz val="9"/>
    </font>
    <font>
      <name val="맑은 고딕"/>
      <b val="1"/>
      <color rgb="00C8C846"/>
      <sz val="10"/>
    </font>
    <font>
      <name val="맑은 고딕"/>
      <color rgb="00C89040"/>
      <sz val="9"/>
    </font>
    <font>
      <name val="맑은 고딕"/>
      <color rgb="00A04BE8"/>
      <sz val="9"/>
    </font>
    <font>
      <name val="맑은 고딕"/>
      <b val="1"/>
      <color rgb="00E68C32"/>
      <sz val="10"/>
    </font>
    <font>
      <name val="맑은 고딕"/>
      <color rgb="00E84B4B"/>
      <sz val="9"/>
    </font>
    <font>
      <name val="맑은 고딕"/>
      <b val="1"/>
      <color rgb="00D44040"/>
      <sz val="10"/>
    </font>
    <font>
      <name val="맑은 고딕"/>
      <color rgb="00E8C050"/>
      <sz val="9"/>
    </font>
    <font>
      <name val="맑은 고딕"/>
      <b val="1"/>
      <color rgb="00A060E8"/>
      <sz val="10"/>
    </font>
    <font>
      <name val="맑은 고딕"/>
      <color rgb="007A6A5A"/>
      <sz val="10"/>
    </font>
    <font>
      <name val="맑은 고딕"/>
      <color rgb="009A7A28"/>
      <sz val="10"/>
    </font>
    <font>
      <name val="맑은 고딕"/>
      <color rgb="00E8C050"/>
      <sz val="10"/>
    </font>
    <font>
      <name val="맑은 고딕"/>
      <color rgb="002E2E3A"/>
      <sz val="9"/>
    </font>
    <font>
      <name val="맑은 고딕"/>
      <b val="1"/>
      <color rgb="00F5D878"/>
      <sz val="10"/>
    </font>
    <font>
      <name val="Consolas"/>
      <b val="1"/>
      <color rgb="00F5D878"/>
      <sz val="10"/>
    </font>
    <font>
      <name val="Consolas"/>
      <color rgb="00EEE8D8"/>
      <sz val="10"/>
    </font>
    <font>
      <name val="맑은 고딕"/>
      <b val="1"/>
      <color rgb="FFFFFFFF"/>
      <sz val="13"/>
    </font>
    <font>
      <name val="맑은 고딕"/>
      <b val="1"/>
      <color rgb="FFFFFFFF"/>
      <sz val="11"/>
    </font>
    <font>
      <name val="맑은 고딕"/>
      <color rgb="FFCCCCCC"/>
      <sz val="10"/>
    </font>
    <font>
      <name val="맑은 고딕"/>
      <b val="1"/>
      <color rgb="FFFFFFFF"/>
      <sz val="9"/>
    </font>
    <font>
      <name val="맑은 고딕"/>
      <color rgb="FFFFFFFF"/>
      <sz val="10"/>
    </font>
    <font>
      <name val="맑은 고딕"/>
      <b val="1"/>
      <color rgb="FF55EE77"/>
      <sz val="10"/>
    </font>
    <font>
      <name val="맑은 고딕"/>
      <i val="1"/>
      <color rgb="FF55EE77"/>
      <sz val="9"/>
    </font>
    <font>
      <name val="맑은 고딕"/>
      <b val="1"/>
      <color rgb="FFCCFFCC"/>
      <sz val="11"/>
    </font>
    <font>
      <name val="맑은 고딕"/>
      <b val="1"/>
      <color rgb="FFFFFFAA"/>
      <sz val="11"/>
    </font>
    <font>
      <name val="맑은 고딕"/>
      <b val="1"/>
      <color rgb="FFFFFFFF"/>
      <sz val="10"/>
    </font>
    <font>
      <name val="맑은 고딕"/>
      <color rgb="FFFFEE88"/>
      <sz val="10"/>
    </font>
    <font>
      <name val="맑은 고딕"/>
      <color rgb="FFFFEE88"/>
      <sz val="9"/>
    </font>
    <font>
      <name val="맑은 고딕"/>
      <color rgb="FF666688"/>
      <sz val="9"/>
    </font>
    <font>
      <name val="맑은 고딕"/>
      <b val="1"/>
      <color rgb="FFAACCFF"/>
      <sz val="10"/>
    </font>
    <font>
      <name val="맑은 고딕"/>
      <color rgb="008A9BB0"/>
      <sz val="9"/>
    </font>
  </fonts>
  <fills count="18">
    <fill>
      <patternFill/>
    </fill>
    <fill>
      <patternFill patternType="gray125"/>
    </fill>
    <fill>
      <patternFill patternType="solid">
        <fgColor rgb="001A1F3A"/>
      </patternFill>
    </fill>
    <fill>
      <patternFill patternType="solid">
        <fgColor rgb="000D0D1A"/>
      </patternFill>
    </fill>
    <fill>
      <patternFill patternType="solid">
        <fgColor rgb="000F2D5A"/>
      </patternFill>
    </fill>
    <fill>
      <patternFill patternType="solid">
        <fgColor rgb="001E2040"/>
      </patternFill>
    </fill>
    <fill>
      <patternFill patternType="solid">
        <fgColor rgb="00181830"/>
      </patternFill>
    </fill>
    <fill>
      <patternFill patternType="solid">
        <fgColor rgb="001A3A6A"/>
      </patternFill>
    </fill>
    <fill>
      <patternFill patternType="solid">
        <fgColor rgb="00111118"/>
      </patternFill>
    </fill>
    <fill>
      <patternFill patternType="solid">
        <fgColor rgb="000A1020"/>
      </patternFill>
    </fill>
    <fill>
      <patternFill patternType="solid">
        <fgColor rgb="FF1A1F3A"/>
      </patternFill>
    </fill>
    <fill>
      <patternFill patternType="solid">
        <fgColor rgb="FF0D0D1A"/>
      </patternFill>
    </fill>
    <fill>
      <patternFill patternType="solid">
        <fgColor rgb="FF1A3A6A"/>
      </patternFill>
    </fill>
    <fill>
      <patternFill patternType="solid">
        <fgColor rgb="FF1A3A20"/>
      </patternFill>
    </fill>
    <fill>
      <patternFill patternType="solid">
        <fgColor rgb="FF0F2D5A"/>
      </patternFill>
    </fill>
    <fill>
      <patternFill patternType="solid">
        <fgColor rgb="FF181830"/>
      </patternFill>
    </fill>
    <fill>
      <patternFill patternType="solid">
        <fgColor rgb="FF1E2040"/>
      </patternFill>
    </fill>
    <fill>
      <patternFill patternType="solid">
        <fgColor rgb="FF161E30"/>
      </patternFill>
    </fill>
  </fills>
  <borders count="26">
    <border>
      <left/>
      <right/>
      <top/>
      <bottom/>
      <diagonal/>
    </border>
    <border>
      <bottom style="medium">
        <color rgb="009A7A28"/>
      </bottom>
    </border>
    <border>
      <top style="thin">
        <color rgb="00303050"/>
      </top>
      <bottom style="medium">
        <color rgb="009A7A28"/>
      </bottom>
    </border>
    <border>
      <left style="medium">
        <color rgb="00383858"/>
      </left>
      <right style="medium">
        <color rgb="00383858"/>
      </right>
      <top style="medium">
        <color rgb="00383858"/>
      </top>
      <bottom style="medium">
        <color rgb="00383858"/>
      </bottom>
    </border>
    <border>
      <left style="thin">
        <color rgb="00252535"/>
      </left>
      <right style="thin">
        <color rgb="00252535"/>
      </right>
      <top style="thin">
        <color rgb="00252535"/>
      </top>
      <bottom style="thin">
        <color rgb="00252535"/>
      </bottom>
    </border>
    <border>
      <left style="medium">
        <color rgb="009A7A28"/>
      </left>
      <right style="medium">
        <color rgb="009A7A28"/>
      </right>
      <top style="medium">
        <color rgb="009A7A28"/>
      </top>
      <bottom style="medium">
        <color rgb="009A7A28"/>
      </bottom>
    </border>
    <border>
      <left/>
      <right/>
      <top style="thin">
        <color rgb="00303050"/>
      </top>
      <bottom/>
      <diagonal/>
    </border>
    <border>
      <left/>
      <right/>
      <top style="thin">
        <color rgb="00303050"/>
      </top>
      <bottom style="medium">
        <color rgb="009A7A28"/>
      </bottom>
      <diagonal/>
    </border>
    <border>
      <left/>
      <right/>
      <top/>
      <bottom style="medium">
        <color rgb="009A7A28"/>
      </bottom>
      <diagonal/>
    </border>
    <border>
      <left/>
      <right/>
      <top style="thin">
        <color rgb="00252535"/>
      </top>
      <bottom/>
      <diagonal/>
    </border>
    <border>
      <left/>
      <right style="thin">
        <color rgb="00252535"/>
      </right>
      <top style="thin">
        <color rgb="00252535"/>
      </top>
      <bottom/>
      <diagonal/>
    </border>
    <border>
      <left/>
      <right/>
      <top style="thin">
        <color rgb="00252535"/>
      </top>
      <bottom style="thin">
        <color rgb="00252535"/>
      </bottom>
      <diagonal/>
    </border>
    <border>
      <left/>
      <right style="thin">
        <color rgb="00252535"/>
      </right>
      <top style="thin">
        <color rgb="00252535"/>
      </top>
      <bottom style="thin">
        <color rgb="00252535"/>
      </bottom>
      <diagonal/>
    </border>
    <border>
      <left style="medium">
        <color rgb="00383858"/>
      </left>
      <right/>
      <top/>
      <bottom/>
      <diagonal/>
    </border>
    <border>
      <left style="medium">
        <color rgb="00383858"/>
      </left>
      <right style="medium">
        <color rgb="00383858"/>
      </right>
      <top/>
      <bottom/>
      <diagonal/>
    </border>
    <border>
      <left style="medium">
        <color rgb="00383858"/>
      </left>
      <right style="medium">
        <color rgb="00383858"/>
      </right>
      <top/>
      <bottom style="medium">
        <color rgb="00383858"/>
      </bottom>
      <diagonal/>
    </border>
    <border>
      <left/>
      <right/>
      <top style="medium">
        <color rgb="00383858"/>
      </top>
      <bottom/>
      <diagonal/>
    </border>
    <border>
      <left/>
      <right style="medium">
        <color rgb="00383858"/>
      </right>
      <top style="medium">
        <color rgb="00383858"/>
      </top>
      <bottom/>
      <diagonal/>
    </border>
    <border>
      <left/>
      <right/>
      <top style="medium">
        <color rgb="00383858"/>
      </top>
      <bottom style="medium">
        <color rgb="00383858"/>
      </bottom>
      <diagonal/>
    </border>
    <border>
      <left/>
      <right style="medium">
        <color rgb="00383858"/>
      </right>
      <top style="medium">
        <color rgb="00383858"/>
      </top>
      <bottom style="medium">
        <color rgb="00383858"/>
      </bottom>
      <diagonal/>
    </border>
    <border>
      <left/>
      <right/>
      <top style="medium">
        <color rgb="009A7A28"/>
      </top>
      <bottom/>
      <diagonal/>
    </border>
    <border>
      <left/>
      <right style="medium">
        <color rgb="009A7A28"/>
      </right>
      <top style="medium">
        <color rgb="009A7A28"/>
      </top>
      <bottom/>
      <diagonal/>
    </border>
    <border>
      <left/>
      <right/>
      <top style="medium">
        <color rgb="009A7A28"/>
      </top>
      <bottom style="medium">
        <color rgb="009A7A28"/>
      </bottom>
      <diagonal/>
    </border>
    <border>
      <left/>
      <right style="medium">
        <color rgb="009A7A28"/>
      </right>
      <top style="medium">
        <color rgb="009A7A28"/>
      </top>
      <bottom style="medium">
        <color rgb="009A7A28"/>
      </bottom>
      <diagonal/>
    </border>
    <border>
      <right/>
      <top style="thin">
        <color rgb="00303050"/>
      </top>
      <bottom style="medium">
        <color rgb="009A7A28"/>
      </bottom>
    </border>
    <border>
      <right/>
      <bottom style="medium">
        <color rgb="009A7A28"/>
      </bottom>
    </border>
  </borders>
  <cellStyleXfs count="1">
    <xf numFmtId="0" fontId="0" fillId="0" borderId="0"/>
  </cellStyleXfs>
  <cellXfs count="195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3" borderId="0" pivotButton="0" quotePrefix="0" xfId="0"/>
    <xf numFmtId="0" fontId="2" fillId="4" borderId="2" applyAlignment="1" pivotButton="0" quotePrefix="0" xfId="0">
      <alignment horizontal="left" vertical="center" indent="1"/>
    </xf>
    <xf numFmtId="0" fontId="3" fillId="2" borderId="3" applyAlignment="1" pivotButton="0" quotePrefix="0" xfId="0">
      <alignment horizontal="left" vertical="top"/>
    </xf>
    <xf numFmtId="0" fontId="4" fillId="5" borderId="4" applyAlignment="1" pivotButton="0" quotePrefix="0" xfId="0">
      <alignment horizontal="left" vertical="top" wrapText="1" indent="1"/>
    </xf>
    <xf numFmtId="0" fontId="4" fillId="6" borderId="4" applyAlignment="1" pivotButton="0" quotePrefix="0" xfId="0">
      <alignment horizontal="left" vertical="top" wrapText="1" indent="1"/>
    </xf>
    <xf numFmtId="0" fontId="5" fillId="2" borderId="1" applyAlignment="1" pivotButton="0" quotePrefix="0" xfId="0">
      <alignment horizontal="left" vertical="center" indent="1"/>
    </xf>
    <xf numFmtId="0" fontId="2" fillId="7" borderId="2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/>
    </xf>
    <xf numFmtId="0" fontId="7" fillId="2" borderId="4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/>
    </xf>
    <xf numFmtId="0" fontId="13" fillId="2" borderId="4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13" fillId="2" borderId="3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5" fillId="2" borderId="3" applyAlignment="1" pivotButton="0" quotePrefix="0" xfId="0">
      <alignment horizontal="center" vertical="center"/>
    </xf>
    <xf numFmtId="0" fontId="16" fillId="2" borderId="3" applyAlignment="1" pivotButton="0" quotePrefix="0" xfId="0">
      <alignment horizontal="center" vertical="center"/>
    </xf>
    <xf numFmtId="0" fontId="17" fillId="2" borderId="3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2" borderId="3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0" fontId="13" fillId="2" borderId="5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17" fillId="2" borderId="5" applyAlignment="1" pivotButton="0" quotePrefix="0" xfId="0">
      <alignment horizontal="center" vertical="center"/>
    </xf>
    <xf numFmtId="0" fontId="23" fillId="2" borderId="3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/>
    </xf>
    <xf numFmtId="0" fontId="24" fillId="8" borderId="4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/>
    </xf>
    <xf numFmtId="0" fontId="14" fillId="6" borderId="5" applyAlignment="1" pivotButton="0" quotePrefix="0" xfId="0">
      <alignment horizontal="center" vertical="center"/>
    </xf>
    <xf numFmtId="0" fontId="25" fillId="2" borderId="5" applyAlignment="1" pivotButton="0" quotePrefix="0" xfId="0">
      <alignment horizontal="center" vertical="center"/>
    </xf>
    <xf numFmtId="0" fontId="26" fillId="2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/>
    </xf>
    <xf numFmtId="0" fontId="14" fillId="5" borderId="5" applyAlignment="1" pivotButton="0" quotePrefix="0" xfId="0">
      <alignment horizontal="center" vertical="center"/>
    </xf>
    <xf numFmtId="0" fontId="27" fillId="2" borderId="5" applyAlignment="1" pivotButton="0" quotePrefix="0" xfId="0">
      <alignment horizontal="center" vertical="center"/>
    </xf>
    <xf numFmtId="0" fontId="28" fillId="2" borderId="3" applyAlignment="1" pivotButton="0" quotePrefix="0" xfId="0">
      <alignment horizontal="center" vertical="center"/>
    </xf>
    <xf numFmtId="0" fontId="29" fillId="2" borderId="3" applyAlignment="1" pivotButton="0" quotePrefix="0" xfId="0">
      <alignment horizontal="center" vertical="center"/>
    </xf>
    <xf numFmtId="0" fontId="30" fillId="2" borderId="5" applyAlignment="1" pivotButton="0" quotePrefix="0" xfId="0">
      <alignment horizontal="center" vertical="center"/>
    </xf>
    <xf numFmtId="0" fontId="31" fillId="2" borderId="3" applyAlignment="1" pivotButton="0" quotePrefix="0" xfId="0">
      <alignment horizontal="center" vertical="center"/>
    </xf>
    <xf numFmtId="0" fontId="32" fillId="2" borderId="5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4" fillId="2" borderId="5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5" fillId="6" borderId="3" applyAlignment="1" pivotButton="0" quotePrefix="0" xfId="0">
      <alignment horizontal="center" vertical="center"/>
    </xf>
    <xf numFmtId="0" fontId="6" fillId="6" borderId="4" applyAlignment="1" pivotButton="0" quotePrefix="0" xfId="0">
      <alignment horizontal="left" vertical="center"/>
    </xf>
    <xf numFmtId="0" fontId="25" fillId="2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36" fillId="5" borderId="3" applyAlignment="1" pivotButton="0" quotePrefix="0" xfId="0">
      <alignment horizontal="center" vertical="center"/>
    </xf>
    <xf numFmtId="0" fontId="37" fillId="5" borderId="3" applyAlignment="1" pivotButton="0" quotePrefix="0" xfId="0">
      <alignment horizontal="center" vertical="center"/>
    </xf>
    <xf numFmtId="0" fontId="6" fillId="5" borderId="4" applyAlignment="1" pivotButton="0" quotePrefix="0" xfId="0">
      <alignment horizontal="left" vertical="center"/>
    </xf>
    <xf numFmtId="0" fontId="27" fillId="2" borderId="3" applyAlignment="1" pivotButton="0" quotePrefix="0" xfId="0">
      <alignment horizontal="center" vertical="center"/>
    </xf>
    <xf numFmtId="0" fontId="36" fillId="6" borderId="3" applyAlignment="1" pivotButton="0" quotePrefix="0" xfId="0">
      <alignment horizontal="center" vertical="center"/>
    </xf>
    <xf numFmtId="0" fontId="37" fillId="6" borderId="3" applyAlignment="1" pivotButton="0" quotePrefix="0" xfId="0">
      <alignment horizontal="center" vertical="center"/>
    </xf>
    <xf numFmtId="0" fontId="30" fillId="2" borderId="3" applyAlignment="1" pivotButton="0" quotePrefix="0" xfId="0">
      <alignment horizontal="center" vertical="center"/>
    </xf>
    <xf numFmtId="0" fontId="32" fillId="2" borderId="3" applyAlignment="1" pivotButton="0" quotePrefix="0" xfId="0">
      <alignment horizontal="center" vertical="center"/>
    </xf>
    <xf numFmtId="0" fontId="34" fillId="2" borderId="3" applyAlignment="1" pivotButton="0" quotePrefix="0" xfId="0">
      <alignment horizontal="center" vertical="center"/>
    </xf>
    <xf numFmtId="0" fontId="38" fillId="8" borderId="4" applyAlignment="1" pivotButton="0" quotePrefix="0" xfId="0">
      <alignment horizontal="center" vertical="center"/>
    </xf>
    <xf numFmtId="0" fontId="38" fillId="8" borderId="4" applyAlignment="1" pivotButton="0" quotePrefix="0" xfId="0">
      <alignment horizontal="center" vertical="center"/>
    </xf>
    <xf numFmtId="0" fontId="24" fillId="8" borderId="4" applyAlignment="1" pivotButton="0" quotePrefix="0" xfId="0">
      <alignment horizontal="center" vertical="center"/>
    </xf>
    <xf numFmtId="0" fontId="3" fillId="6" borderId="3" applyAlignment="1" pivotButton="0" quotePrefix="0" xfId="0">
      <alignment horizontal="left" vertical="center"/>
    </xf>
    <xf numFmtId="0" fontId="39" fillId="2" borderId="5" applyAlignment="1" pivotButton="0" quotePrefix="0" xfId="0">
      <alignment horizontal="center" vertical="center"/>
    </xf>
    <xf numFmtId="0" fontId="22" fillId="6" borderId="4" applyAlignment="1" pivotButton="0" quotePrefix="0" xfId="0">
      <alignment horizontal="left" vertical="center"/>
    </xf>
    <xf numFmtId="0" fontId="3" fillId="5" borderId="3" applyAlignment="1" pivotButton="0" quotePrefix="0" xfId="0">
      <alignment horizontal="left" vertical="center"/>
    </xf>
    <xf numFmtId="0" fontId="22" fillId="5" borderId="4" applyAlignment="1" pivotButton="0" quotePrefix="0" xfId="0">
      <alignment horizontal="left" vertical="center"/>
    </xf>
    <xf numFmtId="0" fontId="14" fillId="2" borderId="5" applyAlignment="1" pivotButton="0" quotePrefix="0" xfId="0">
      <alignment horizontal="left" vertical="center"/>
    </xf>
    <xf numFmtId="0" fontId="40" fillId="9" borderId="5" applyAlignment="1" pivotButton="0" quotePrefix="0" xfId="0">
      <alignment horizontal="left" vertical="top" wrapText="1" indent="1"/>
    </xf>
    <xf numFmtId="0" fontId="41" fillId="5" borderId="3" applyAlignment="1" pivotButton="0" quotePrefix="0" xfId="0">
      <alignment horizontal="left" vertical="top" wrapText="1" indent="1"/>
    </xf>
    <xf numFmtId="0" fontId="41" fillId="6" borderId="3" applyAlignment="1" pivotButton="0" quotePrefix="0" xfId="0">
      <alignment horizontal="left" vertical="top" wrapText="1" indent="1"/>
    </xf>
    <xf numFmtId="0" fontId="0" fillId="0" borderId="8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18" pivotButton="0" quotePrefix="0" xfId="0"/>
    <xf numFmtId="0" fontId="0" fillId="0" borderId="19" pivotButton="0" quotePrefix="0" xfId="0"/>
    <xf numFmtId="0" fontId="42" fillId="10" borderId="0" applyAlignment="1" pivotButton="0" quotePrefix="0" xfId="0">
      <alignment horizontal="left" vertical="center" indent="1"/>
    </xf>
    <xf numFmtId="0" fontId="0" fillId="11" borderId="0" pivotButton="0" quotePrefix="0" xfId="0"/>
    <xf numFmtId="0" fontId="43" fillId="12" borderId="0" applyAlignment="1" pivotButton="0" quotePrefix="0" xfId="0">
      <alignment horizontal="left" vertical="center" indent="1"/>
    </xf>
    <xf numFmtId="0" fontId="44" fillId="11" borderId="0" applyAlignment="1" pivotButton="0" quotePrefix="0" xfId="0">
      <alignment horizontal="left" vertical="center" indent="1"/>
    </xf>
    <xf numFmtId="0" fontId="45" fillId="10" borderId="0" applyAlignment="1" pivotButton="0" quotePrefix="0" xfId="0">
      <alignment horizontal="center" vertical="center" wrapText="1"/>
    </xf>
    <xf numFmtId="0" fontId="46" fillId="10" borderId="0" applyAlignment="1" pivotButton="0" quotePrefix="0" xfId="0">
      <alignment horizontal="center" vertical="center"/>
    </xf>
    <xf numFmtId="9" fontId="46" fillId="10" borderId="0" applyAlignment="1" pivotButton="0" quotePrefix="0" xfId="0">
      <alignment horizontal="center" vertical="center"/>
    </xf>
    <xf numFmtId="0" fontId="0" fillId="13" borderId="0" pivotButton="0" quotePrefix="0" xfId="0"/>
    <xf numFmtId="0" fontId="47" fillId="13" borderId="0" applyAlignment="1" pivotButton="0" quotePrefix="0" xfId="0">
      <alignment horizontal="center" vertical="center"/>
    </xf>
    <xf numFmtId="0" fontId="48" fillId="13" borderId="0" applyAlignment="1" pivotButton="0" quotePrefix="0" xfId="0">
      <alignment horizontal="center" vertical="center"/>
    </xf>
    <xf numFmtId="9" fontId="49" fillId="13" borderId="0" applyAlignment="1" pivotButton="0" quotePrefix="0" xfId="0">
      <alignment horizontal="center" vertical="center"/>
    </xf>
    <xf numFmtId="0" fontId="48" fillId="13" borderId="0" applyAlignment="1" pivotButton="0" quotePrefix="0" xfId="0">
      <alignment horizontal="left" vertical="center" indent="1"/>
    </xf>
    <xf numFmtId="0" fontId="50" fillId="14" borderId="0" applyAlignment="1" pivotButton="0" quotePrefix="0" xfId="0">
      <alignment horizontal="left" vertical="center" indent="1"/>
    </xf>
    <xf numFmtId="0" fontId="45" fillId="10" borderId="0" applyAlignment="1" pivotButton="0" quotePrefix="0" xfId="0">
      <alignment horizontal="center" vertical="center"/>
    </xf>
    <xf numFmtId="0" fontId="0" fillId="15" borderId="0" pivotButton="0" quotePrefix="0" xfId="0"/>
    <xf numFmtId="0" fontId="51" fillId="15" borderId="0" applyAlignment="1" pivotButton="0" quotePrefix="0" xfId="0">
      <alignment horizontal="center" vertical="center"/>
    </xf>
    <xf numFmtId="0" fontId="46" fillId="15" borderId="0" applyAlignment="1" pivotButton="0" quotePrefix="0" xfId="0">
      <alignment horizontal="center" vertical="center"/>
    </xf>
    <xf numFmtId="0" fontId="52" fillId="15" borderId="0" applyAlignment="1" pivotButton="0" quotePrefix="0" xfId="0">
      <alignment horizontal="center" vertical="center"/>
    </xf>
    <xf numFmtId="0" fontId="0" fillId="16" borderId="0" pivotButton="0" quotePrefix="0" xfId="0"/>
    <xf numFmtId="0" fontId="51" fillId="16" borderId="0" applyAlignment="1" pivotButton="0" quotePrefix="0" xfId="0">
      <alignment horizontal="center" vertical="center"/>
    </xf>
    <xf numFmtId="0" fontId="46" fillId="16" borderId="0" applyAlignment="1" pivotButton="0" quotePrefix="0" xfId="0">
      <alignment horizontal="center" vertical="center"/>
    </xf>
    <xf numFmtId="0" fontId="52" fillId="16" borderId="0" applyAlignment="1" pivotButton="0" quotePrefix="0" xfId="0">
      <alignment horizontal="center" vertical="center"/>
    </xf>
    <xf numFmtId="0" fontId="45" fillId="15" borderId="0" applyAlignment="1" pivotButton="0" quotePrefix="0" xfId="0">
      <alignment horizontal="left" vertical="center" indent="1"/>
    </xf>
    <xf numFmtId="0" fontId="53" fillId="15" borderId="0" applyAlignment="1" pivotButton="0" quotePrefix="0" xfId="0">
      <alignment horizontal="center" vertical="center"/>
    </xf>
    <xf numFmtId="0" fontId="45" fillId="16" borderId="0" applyAlignment="1" pivotButton="0" quotePrefix="0" xfId="0">
      <alignment horizontal="left" vertical="center" indent="1"/>
    </xf>
    <xf numFmtId="0" fontId="54" fillId="16" borderId="0" applyAlignment="1" pivotButton="0" quotePrefix="0" xfId="0">
      <alignment horizontal="center" vertical="center"/>
    </xf>
    <xf numFmtId="0" fontId="53" fillId="16" borderId="0" applyAlignment="1" pivotButton="0" quotePrefix="0" xfId="0">
      <alignment horizontal="center" vertical="center"/>
    </xf>
    <xf numFmtId="0" fontId="54" fillId="15" borderId="0" applyAlignment="1" pivotButton="0" quotePrefix="0" xfId="0">
      <alignment horizontal="center" vertical="center"/>
    </xf>
    <xf numFmtId="0" fontId="1" fillId="2" borderId="25" applyAlignment="1" pivotButton="0" quotePrefix="0" xfId="0">
      <alignment horizontal="left" vertical="center" indent="1"/>
    </xf>
    <xf numFmtId="0" fontId="2" fillId="4" borderId="24" applyAlignment="1" pivotButton="0" quotePrefix="0" xfId="0">
      <alignment horizontal="left" vertical="center" indent="1"/>
    </xf>
    <xf numFmtId="0" fontId="5" fillId="2" borderId="25" applyAlignment="1" pivotButton="0" quotePrefix="0" xfId="0">
      <alignment horizontal="left" vertical="center" indent="1"/>
    </xf>
    <xf numFmtId="0" fontId="2" fillId="7" borderId="24" applyAlignment="1" pivotButton="0" quotePrefix="0" xfId="0">
      <alignment horizontal="left" vertical="center" indent="1"/>
    </xf>
    <xf numFmtId="0" fontId="42" fillId="10" borderId="0" applyAlignment="1" pivotButton="0" quotePrefix="0" xfId="0">
      <alignment horizontal="left" vertical="center" indent="1"/>
    </xf>
    <xf numFmtId="0" fontId="43" fillId="12" borderId="0" applyAlignment="1" pivotButton="0" quotePrefix="0" xfId="0">
      <alignment horizontal="left" vertical="center" indent="1"/>
    </xf>
    <xf numFmtId="0" fontId="55" fillId="17" borderId="0" applyAlignment="1" pivotButton="0" quotePrefix="0" xfId="0">
      <alignment horizontal="left" vertical="center" indent="1"/>
    </xf>
    <xf numFmtId="0" fontId="44" fillId="11" borderId="0" applyAlignment="1" pivotButton="0" quotePrefix="0" xfId="0">
      <alignment horizontal="left" vertical="center"/>
    </xf>
    <xf numFmtId="0" fontId="45" fillId="10" borderId="0" applyAlignment="1" pivotButton="0" quotePrefix="0" xfId="0">
      <alignment horizontal="center" vertical="center"/>
    </xf>
    <xf numFmtId="0" fontId="46" fillId="10" borderId="0" applyAlignment="1" pivotButton="0" quotePrefix="0" xfId="0">
      <alignment horizontal="center" vertical="center"/>
    </xf>
    <xf numFmtId="9" fontId="46" fillId="10" borderId="0" applyAlignment="1" pivotButton="0" quotePrefix="0" xfId="0">
      <alignment horizontal="center" vertical="center"/>
    </xf>
    <xf numFmtId="0" fontId="47" fillId="13" borderId="0" applyAlignment="1" pivotButton="0" quotePrefix="0" xfId="0">
      <alignment horizontal="center" vertical="center"/>
    </xf>
    <xf numFmtId="9" fontId="49" fillId="13" borderId="0" applyAlignment="1" pivotButton="0" quotePrefix="0" xfId="0">
      <alignment horizontal="center" vertical="center"/>
    </xf>
    <xf numFmtId="0" fontId="48" fillId="13" borderId="0" applyAlignment="1" pivotButton="0" quotePrefix="0" xfId="0">
      <alignment horizontal="left" vertical="center" indent="1"/>
    </xf>
    <xf numFmtId="0" fontId="50" fillId="14" borderId="0" applyAlignment="1" pivotButton="0" quotePrefix="0" xfId="0">
      <alignment horizontal="left" vertical="center" indent="1"/>
    </xf>
    <xf numFmtId="0" fontId="51" fillId="15" borderId="0" applyAlignment="1" pivotButton="0" quotePrefix="0" xfId="0">
      <alignment horizontal="center" vertical="center"/>
    </xf>
    <xf numFmtId="0" fontId="46" fillId="15" borderId="0" applyAlignment="1" pivotButton="0" quotePrefix="0" xfId="0">
      <alignment horizontal="center" vertical="center"/>
    </xf>
    <xf numFmtId="0" fontId="52" fillId="15" borderId="0" applyAlignment="1" pivotButton="0" quotePrefix="0" xfId="0">
      <alignment horizontal="center" vertical="center"/>
    </xf>
    <xf numFmtId="0" fontId="51" fillId="16" borderId="0" applyAlignment="1" pivotButton="0" quotePrefix="0" xfId="0">
      <alignment horizontal="center" vertical="center"/>
    </xf>
    <xf numFmtId="0" fontId="46" fillId="16" borderId="0" applyAlignment="1" pivotButton="0" quotePrefix="0" xfId="0">
      <alignment horizontal="center" vertical="center"/>
    </xf>
    <xf numFmtId="0" fontId="52" fillId="16" borderId="0" applyAlignment="1" pivotButton="0" quotePrefix="0" xfId="0">
      <alignment horizontal="center" vertical="center"/>
    </xf>
    <xf numFmtId="0" fontId="45" fillId="15" borderId="0" applyAlignment="1" pivotButton="0" quotePrefix="0" xfId="0">
      <alignment horizontal="left" vertical="center" indent="1"/>
    </xf>
    <xf numFmtId="0" fontId="53" fillId="15" borderId="0" applyAlignment="1" pivotButton="0" quotePrefix="0" xfId="0">
      <alignment horizontal="center" vertical="center"/>
    </xf>
    <xf numFmtId="0" fontId="45" fillId="16" borderId="0" applyAlignment="1" pivotButton="0" quotePrefix="0" xfId="0">
      <alignment horizontal="left" vertical="center" indent="1"/>
    </xf>
    <xf numFmtId="0" fontId="54" fillId="16" borderId="0" applyAlignment="1" pivotButton="0" quotePrefix="0" xfId="0">
      <alignment horizontal="center" vertical="center"/>
    </xf>
    <xf numFmtId="0" fontId="53" fillId="16" borderId="0" applyAlignment="1" pivotButton="0" quotePrefix="0" xfId="0">
      <alignment horizontal="center" vertical="center"/>
    </xf>
    <xf numFmtId="0" fontId="54" fillId="15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/>
    </xf>
    <xf numFmtId="0" fontId="13" fillId="2" borderId="4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0" fontId="13" fillId="2" borderId="5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17" fillId="2" borderId="5" applyAlignment="1" pivotButton="0" quotePrefix="0" xfId="0">
      <alignment horizontal="center" vertical="center"/>
    </xf>
    <xf numFmtId="0" fontId="56" fillId="2" borderId="3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/>
    </xf>
    <xf numFmtId="0" fontId="4" fillId="6" borderId="5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/>
    </xf>
    <xf numFmtId="0" fontId="36" fillId="6" borderId="3" applyAlignment="1" pivotButton="0" quotePrefix="0" xfId="0">
      <alignment horizontal="center" vertical="center"/>
    </xf>
    <xf numFmtId="0" fontId="14" fillId="6" borderId="5" applyAlignment="1" pivotButton="0" quotePrefix="0" xfId="0">
      <alignment horizontal="center" vertical="center"/>
    </xf>
    <xf numFmtId="0" fontId="25" fillId="2" borderId="5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/>
    </xf>
    <xf numFmtId="0" fontId="4" fillId="5" borderId="5" applyAlignment="1" pivotButton="0" quotePrefix="0" xfId="0">
      <alignment horizontal="center" vertical="center"/>
    </xf>
    <xf numFmtId="0" fontId="23" fillId="2" borderId="3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36" fillId="5" borderId="3" applyAlignment="1" pivotButton="0" quotePrefix="0" xfId="0">
      <alignment horizontal="center" vertical="center"/>
    </xf>
    <xf numFmtId="0" fontId="14" fillId="5" borderId="5" applyAlignment="1" pivotButton="0" quotePrefix="0" xfId="0">
      <alignment horizontal="center" vertical="center"/>
    </xf>
    <xf numFmtId="0" fontId="27" fillId="2" borderId="5" applyAlignment="1" pivotButton="0" quotePrefix="0" xfId="0">
      <alignment horizontal="center" vertical="center"/>
    </xf>
    <xf numFmtId="0" fontId="26" fillId="2" borderId="3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/>
    </xf>
    <xf numFmtId="0" fontId="28" fillId="2" borderId="3" applyAlignment="1" pivotButton="0" quotePrefix="0" xfId="0">
      <alignment horizontal="center" vertical="center"/>
    </xf>
    <xf numFmtId="0" fontId="11" fillId="2" borderId="3" applyAlignment="1" pivotButton="0" quotePrefix="0" xfId="0">
      <alignment horizontal="center" vertical="center"/>
    </xf>
    <xf numFmtId="0" fontId="30" fillId="2" borderId="5" applyAlignment="1" pivotButton="0" quotePrefix="0" xfId="0">
      <alignment horizontal="center" vertical="center"/>
    </xf>
    <xf numFmtId="0" fontId="29" fillId="2" borderId="3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32" fillId="2" borderId="5" applyAlignment="1" pivotButton="0" quotePrefix="0" xfId="0">
      <alignment horizontal="center" vertical="center"/>
    </xf>
    <xf numFmtId="0" fontId="31" fillId="2" borderId="3" applyAlignment="1" pivotButton="0" quotePrefix="0" xfId="0">
      <alignment horizontal="center" vertical="center"/>
    </xf>
    <xf numFmtId="0" fontId="13" fillId="2" borderId="3" applyAlignment="1" pivotButton="0" quotePrefix="0" xfId="0">
      <alignment horizontal="center" vertical="center"/>
    </xf>
    <xf numFmtId="0" fontId="34" fillId="2" borderId="5" applyAlignment="1" pivotButton="0" quotePrefix="0" xfId="0">
      <alignment horizontal="center" vertical="center"/>
    </xf>
    <xf numFmtId="0" fontId="17" fillId="2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5" fillId="6" borderId="3" applyAlignment="1" pivotButton="0" quotePrefix="0" xfId="0">
      <alignment horizontal="center" vertical="center"/>
    </xf>
    <xf numFmtId="0" fontId="6" fillId="6" borderId="4" applyAlignment="1" pivotButton="0" quotePrefix="0" xfId="0">
      <alignment horizontal="left" vertical="center"/>
    </xf>
    <xf numFmtId="0" fontId="25" fillId="2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37" fillId="5" borderId="3" applyAlignment="1" pivotButton="0" quotePrefix="0" xfId="0">
      <alignment horizontal="center" vertical="center"/>
    </xf>
    <xf numFmtId="0" fontId="6" fillId="5" borderId="4" applyAlignment="1" pivotButton="0" quotePrefix="0" xfId="0">
      <alignment horizontal="left" vertical="center"/>
    </xf>
    <xf numFmtId="0" fontId="27" fillId="2" borderId="3" applyAlignment="1" pivotButton="0" quotePrefix="0" xfId="0">
      <alignment horizontal="center" vertical="center"/>
    </xf>
    <xf numFmtId="0" fontId="37" fillId="6" borderId="3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30" fillId="2" borderId="3" applyAlignment="1" pivotButton="0" quotePrefix="0" xfId="0">
      <alignment horizontal="center" vertical="center"/>
    </xf>
    <xf numFmtId="0" fontId="32" fillId="2" borderId="3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4" fillId="2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70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</cols>
  <sheetData>
    <row r="1" ht="32" customHeight="1">
      <c r="A1" s="114" t="inlineStr">
        <is>
          <t>⚔  장비 능력치 — 설계 의도</t>
        </is>
      </c>
      <c r="B1" s="76" t="n"/>
    </row>
    <row r="3" ht="8" customHeight="1">
      <c r="A3" s="2" t="n"/>
    </row>
    <row r="4" ht="22" customHeight="1">
      <c r="A4" s="115" t="inlineStr">
        <is>
          <t>◆ 핵심 설계 원칙</t>
        </is>
      </c>
      <c r="B4" s="77" t="n"/>
    </row>
    <row r="5" ht="34" customHeight="1">
      <c r="A5" s="4" t="inlineStr">
        <is>
          <t>티어 차등 강조</t>
        </is>
      </c>
      <c r="B5" s="5" t="inlineStr">
        <is>
          <t>티어 간 기본 수치 격차를 크게 설계
→ 상위 티어 장비 확보 자체가 핵심 성장 목표가 되도록 함</t>
        </is>
      </c>
    </row>
    <row r="6" ht="34" customHeight="1">
      <c r="A6" s="4" t="inlineStr">
        <is>
          <t>티어별 강화 보상 차등</t>
        </is>
      </c>
      <c r="B6" s="6" t="inlineStr">
        <is>
          <t>강화 1단계 증가량을 티어가 높을수록 크게 설정  (T1: +8 / T7: +20)
→ 고티어 장비일수록 강화 시 더 큰 수치 상승 경험</t>
        </is>
      </c>
    </row>
    <row r="7" ht="34" customHeight="1">
      <c r="A7" s="4" t="inlineStr">
        <is>
          <t>강화 리스크 보장</t>
        </is>
      </c>
      <c r="B7" s="5" t="inlineStr">
        <is>
          <t>강화 증가폭이 클수록 실패 시 손실도 커짐
→ 고티어 강화는 자원 투자 대비 리스크가 명확히 존재</t>
        </is>
      </c>
    </row>
    <row r="8" ht="64" customHeight="1">
      <c r="A8" s="4" t="inlineStr">
        <is>
          <t>등급 수치 동일, 상한으로 가치 차별화</t>
        </is>
      </c>
      <c r="B8" s="6" t="inlineStr">
        <is>
          <t>등급 보너스 자체는 티어 무관 동일  (예: 희귀 +40 ATK — 모든 티어 공통)
단, 티어별 최대 등급 제한으로 실질 등급 가치 차별화
  T1 최대 고급  /  T2 최대 희귀  /  T3 최대 고대  /  T4 최대 영웅
  T5 최대 유일  /  T6 · T7 최대 유물</t>
        </is>
      </c>
    </row>
    <row r="9" ht="34" customHeight="1">
      <c r="A9" s="4" t="inlineStr">
        <is>
          <t>캐릭터 기본 능력치 최소화</t>
        </is>
      </c>
      <c r="B9" s="5" t="inlineStr">
        <is>
          <t>캐릭터는 HP · MP 기본값만 보유 (레벨업 성장)
→ 공격력 · 방어력은 100% 장비에서 획득  →  장비 수집·강화가 성장의 핵심 동력</t>
        </is>
      </c>
    </row>
    <row r="10" ht="8" customHeight="1">
      <c r="A10" s="2" t="n"/>
    </row>
    <row r="11" ht="22" customHeight="1">
      <c r="A11" s="115" t="inlineStr">
        <is>
          <t>◆ 수치 구조 요약</t>
        </is>
      </c>
      <c r="B11" s="77" t="n"/>
    </row>
    <row r="12" ht="19" customHeight="1">
      <c r="A12" s="4" t="inlineStr">
        <is>
          <t>무기 기본 ATK (0강 · 일반)</t>
        </is>
      </c>
      <c r="B12" s="6" t="inlineStr">
        <is>
          <t>T1: 60  /  T2: 80  /  T3: 120  /  T4: 180  /  T5: 260  /  T6: 360  /  T7: 480</t>
        </is>
      </c>
    </row>
    <row r="13" ht="19" customHeight="1">
      <c r="A13" s="4" t="inlineStr">
        <is>
          <t>방어구 기본 DEF (0강 · 일반)</t>
        </is>
      </c>
      <c r="B13" s="5" t="inlineStr">
        <is>
          <t>T1: 30  /  T2: 40  /  T3: 60   /  T4: 90   /  T5: 130  /  T6: 180  /  T7: 240</t>
        </is>
      </c>
    </row>
    <row r="14" ht="19" customHeight="1">
      <c r="A14" s="4" t="inlineStr">
        <is>
          <t>무기 강화 증가 / 단계</t>
        </is>
      </c>
      <c r="B14" s="6" t="inlineStr">
        <is>
          <t>T1: +8  /  T2: +10  /  T3: +12  /  T4: +14  /  T5: +16  /  T6: +18  /  T7: +20</t>
        </is>
      </c>
    </row>
    <row r="15" ht="19" customHeight="1">
      <c r="A15" s="4" t="inlineStr">
        <is>
          <t>방어구 강화 증가 / 단계</t>
        </is>
      </c>
      <c r="B15" s="5" t="inlineStr">
        <is>
          <t>T1: +4  /  T2: +5   /  T3: +6   /  T4: +7   /  T5: +8   /  T6: +9   /  T7: +10</t>
        </is>
      </c>
    </row>
    <row r="16" ht="19" customHeight="1">
      <c r="A16" s="4" t="inlineStr">
        <is>
          <t>최대 강화 단계</t>
        </is>
      </c>
      <c r="B16" s="6" t="inlineStr">
        <is>
          <t>10강</t>
        </is>
      </c>
    </row>
    <row r="17" ht="19" customHeight="1">
      <c r="A17" s="4" t="inlineStr">
        <is>
          <t>악세사리 (T1·T2)</t>
        </is>
      </c>
      <c r="B17" s="5" t="inlineStr">
        <is>
          <t>반지 · 목걸이 · 귀걸이는 T3부터 장착 가능  (T1·T2 슬롯 없음)</t>
        </is>
      </c>
    </row>
    <row r="18" ht="8" customHeight="1">
      <c r="A18" s="2" t="n"/>
    </row>
  </sheetData>
  <mergeCells count="6">
    <mergeCell ref="A4:B4"/>
    <mergeCell ref="A11:B11"/>
    <mergeCell ref="A10:B10"/>
    <mergeCell ref="A1:B1"/>
    <mergeCell ref="A18:B18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9" customWidth="1" min="14" max="14"/>
  </cols>
  <sheetData>
    <row r="1" ht="32" customHeight="1">
      <c r="A1" s="7" t="inlineStr">
        <is>
          <t>⚔  무기 — ATK 수치표</t>
        </is>
      </c>
    </row>
    <row r="3" ht="22" customHeight="1">
      <c r="A3" s="8" t="inlineStr">
        <is>
          <t>등급 색상 범례</t>
        </is>
      </c>
    </row>
    <row r="4" ht="16" customHeight="1">
      <c r="A4" s="141" t="inlineStr">
        <is>
          <t>등급 →</t>
        </is>
      </c>
      <c r="B4" s="142" t="inlineStr"/>
      <c r="C4" s="143" t="inlineStr">
        <is>
          <t>일반</t>
        </is>
      </c>
      <c r="D4" s="144" t="inlineStr">
        <is>
          <t>고급</t>
        </is>
      </c>
      <c r="E4" s="145" t="inlineStr">
        <is>
          <t>희귀</t>
        </is>
      </c>
      <c r="F4" s="146" t="inlineStr">
        <is>
          <t>고대</t>
        </is>
      </c>
      <c r="G4" s="147" t="inlineStr">
        <is>
          <t>영웅</t>
        </is>
      </c>
      <c r="H4" s="148" t="inlineStr">
        <is>
          <t>유일</t>
        </is>
      </c>
      <c r="I4" s="149" t="inlineStr">
        <is>
          <t>유물</t>
        </is>
      </c>
      <c r="J4" s="142" t="inlineStr"/>
      <c r="K4" s="142" t="inlineStr"/>
      <c r="L4" s="142" t="inlineStr"/>
      <c r="M4" s="142" t="inlineStr"/>
      <c r="N4" s="142" t="inlineStr"/>
    </row>
    <row r="5" ht="8" customHeight="1">
      <c r="A5" s="2" t="n"/>
    </row>
    <row r="6" ht="22" customHeight="1">
      <c r="A6" s="3" t="inlineStr">
        <is>
          <t>▶  티어 × 등급 × 강화  ATK 수치표  (★ = 해당 티어 최고 등급)</t>
        </is>
      </c>
    </row>
    <row r="7" ht="18" customHeight="1">
      <c r="A7" s="150" t="inlineStr">
        <is>
          <t>티어</t>
        </is>
      </c>
      <c r="B7" s="150" t="inlineStr">
        <is>
          <t>등급</t>
        </is>
      </c>
      <c r="C7" s="151" t="inlineStr">
        <is>
          <t>+0강</t>
        </is>
      </c>
      <c r="D7" s="151" t="inlineStr">
        <is>
          <t>+1강</t>
        </is>
      </c>
      <c r="E7" s="151" t="inlineStr">
        <is>
          <t>+2강</t>
        </is>
      </c>
      <c r="F7" s="151" t="inlineStr">
        <is>
          <t>+3강</t>
        </is>
      </c>
      <c r="G7" s="151" t="inlineStr">
        <is>
          <t>+4강</t>
        </is>
      </c>
      <c r="H7" s="151" t="inlineStr">
        <is>
          <t>+5강</t>
        </is>
      </c>
      <c r="I7" s="151" t="inlineStr">
        <is>
          <t>+6강</t>
        </is>
      </c>
      <c r="J7" s="151" t="inlineStr">
        <is>
          <t>+7강</t>
        </is>
      </c>
      <c r="K7" s="151" t="inlineStr">
        <is>
          <t>+8강</t>
        </is>
      </c>
      <c r="L7" s="151" t="inlineStr">
        <is>
          <t>+9강</t>
        </is>
      </c>
      <c r="M7" s="152" t="inlineStr">
        <is>
          <t>+10강</t>
        </is>
      </c>
      <c r="N7" s="153" t="inlineStr">
        <is>
          <t>+/단계</t>
        </is>
      </c>
    </row>
    <row r="8" ht="16" customHeight="1">
      <c r="A8" s="154" t="inlineStr">
        <is>
          <t>T1</t>
        </is>
      </c>
      <c r="B8" s="155" t="inlineStr">
        <is>
          <t>일반</t>
        </is>
      </c>
      <c r="C8" s="156" t="n">
        <v>60</v>
      </c>
      <c r="D8" s="156" t="n">
        <v>68</v>
      </c>
      <c r="E8" s="156" t="n">
        <v>76</v>
      </c>
      <c r="F8" s="156" t="n">
        <v>84</v>
      </c>
      <c r="G8" s="156" t="n">
        <v>92</v>
      </c>
      <c r="H8" s="156" t="n">
        <v>100</v>
      </c>
      <c r="I8" s="156" t="n">
        <v>108</v>
      </c>
      <c r="J8" s="156" t="n">
        <v>116</v>
      </c>
      <c r="K8" s="156" t="n">
        <v>124</v>
      </c>
      <c r="L8" s="156" t="n">
        <v>132</v>
      </c>
      <c r="M8" s="157" t="n">
        <v>140</v>
      </c>
      <c r="N8" s="153" t="inlineStr">
        <is>
          <t>+8</t>
        </is>
      </c>
    </row>
    <row r="9" ht="16" customHeight="1">
      <c r="B9" s="158" t="inlineStr">
        <is>
          <t>★고급</t>
        </is>
      </c>
      <c r="C9" s="159" t="n">
        <v>80</v>
      </c>
      <c r="D9" s="159" t="n">
        <v>88</v>
      </c>
      <c r="E9" s="159" t="n">
        <v>96</v>
      </c>
      <c r="F9" s="159" t="n">
        <v>104</v>
      </c>
      <c r="G9" s="159" t="n">
        <v>112</v>
      </c>
      <c r="H9" s="159" t="n">
        <v>120</v>
      </c>
      <c r="I9" s="159" t="n">
        <v>128</v>
      </c>
      <c r="J9" s="159" t="n">
        <v>136</v>
      </c>
      <c r="K9" s="159" t="n">
        <v>144</v>
      </c>
      <c r="L9" s="159" t="n">
        <v>152</v>
      </c>
      <c r="M9" s="160" t="n">
        <v>160</v>
      </c>
      <c r="N9" s="153" t="inlineStr">
        <is>
          <t>+8</t>
        </is>
      </c>
    </row>
    <row r="10" ht="8" customHeight="1">
      <c r="A10" s="2" t="n"/>
    </row>
    <row r="11" ht="16" customHeight="1">
      <c r="A11" s="161" t="inlineStr">
        <is>
          <t>T2</t>
        </is>
      </c>
      <c r="B11" s="155" t="inlineStr">
        <is>
          <t>일반</t>
        </is>
      </c>
      <c r="C11" s="162" t="n">
        <v>80</v>
      </c>
      <c r="D11" s="162" t="n">
        <v>90</v>
      </c>
      <c r="E11" s="162" t="n">
        <v>100</v>
      </c>
      <c r="F11" s="162" t="n">
        <v>110</v>
      </c>
      <c r="G11" s="162" t="n">
        <v>120</v>
      </c>
      <c r="H11" s="162" t="n">
        <v>130</v>
      </c>
      <c r="I11" s="162" t="n">
        <v>140</v>
      </c>
      <c r="J11" s="162" t="n">
        <v>150</v>
      </c>
      <c r="K11" s="162" t="n">
        <v>160</v>
      </c>
      <c r="L11" s="162" t="n">
        <v>170</v>
      </c>
      <c r="M11" s="163" t="n">
        <v>180</v>
      </c>
      <c r="N11" s="153" t="inlineStr">
        <is>
          <t>+10</t>
        </is>
      </c>
    </row>
    <row r="12" ht="16" customHeight="1">
      <c r="B12" s="164" t="inlineStr">
        <is>
          <t>고급</t>
        </is>
      </c>
      <c r="C12" s="162" t="n">
        <v>100</v>
      </c>
      <c r="D12" s="162" t="n">
        <v>110</v>
      </c>
      <c r="E12" s="162" t="n">
        <v>120</v>
      </c>
      <c r="F12" s="162" t="n">
        <v>130</v>
      </c>
      <c r="G12" s="162" t="n">
        <v>140</v>
      </c>
      <c r="H12" s="162" t="n">
        <v>150</v>
      </c>
      <c r="I12" s="162" t="n">
        <v>160</v>
      </c>
      <c r="J12" s="162" t="n">
        <v>170</v>
      </c>
      <c r="K12" s="162" t="n">
        <v>180</v>
      </c>
      <c r="L12" s="162" t="n">
        <v>190</v>
      </c>
      <c r="M12" s="163" t="n">
        <v>200</v>
      </c>
      <c r="N12" s="153" t="inlineStr">
        <is>
          <t>+10</t>
        </is>
      </c>
    </row>
    <row r="13" ht="16" customHeight="1">
      <c r="B13" s="165" t="inlineStr">
        <is>
          <t>★희귀</t>
        </is>
      </c>
      <c r="C13" s="166" t="n">
        <v>120</v>
      </c>
      <c r="D13" s="166" t="n">
        <v>130</v>
      </c>
      <c r="E13" s="166" t="n">
        <v>140</v>
      </c>
      <c r="F13" s="166" t="n">
        <v>150</v>
      </c>
      <c r="G13" s="166" t="n">
        <v>160</v>
      </c>
      <c r="H13" s="166" t="n">
        <v>170</v>
      </c>
      <c r="I13" s="166" t="n">
        <v>180</v>
      </c>
      <c r="J13" s="166" t="n">
        <v>190</v>
      </c>
      <c r="K13" s="166" t="n">
        <v>200</v>
      </c>
      <c r="L13" s="166" t="n">
        <v>210</v>
      </c>
      <c r="M13" s="167" t="n">
        <v>220</v>
      </c>
      <c r="N13" s="153" t="inlineStr">
        <is>
          <t>+10</t>
        </is>
      </c>
    </row>
    <row r="14" ht="8" customHeight="1">
      <c r="A14" s="2" t="n"/>
    </row>
    <row r="15" ht="16" customHeight="1">
      <c r="A15" s="168" t="inlineStr">
        <is>
          <t>T3</t>
        </is>
      </c>
      <c r="B15" s="155" t="inlineStr">
        <is>
          <t>일반</t>
        </is>
      </c>
      <c r="C15" s="156" t="n">
        <v>120</v>
      </c>
      <c r="D15" s="156" t="n">
        <v>132</v>
      </c>
      <c r="E15" s="156" t="n">
        <v>144</v>
      </c>
      <c r="F15" s="156" t="n">
        <v>156</v>
      </c>
      <c r="G15" s="156" t="n">
        <v>168</v>
      </c>
      <c r="H15" s="156" t="n">
        <v>180</v>
      </c>
      <c r="I15" s="156" t="n">
        <v>192</v>
      </c>
      <c r="J15" s="156" t="n">
        <v>204</v>
      </c>
      <c r="K15" s="156" t="n">
        <v>216</v>
      </c>
      <c r="L15" s="156" t="n">
        <v>228</v>
      </c>
      <c r="M15" s="157" t="n">
        <v>240</v>
      </c>
      <c r="N15" s="153" t="inlineStr">
        <is>
          <t>+12</t>
        </is>
      </c>
    </row>
    <row r="16" ht="16" customHeight="1">
      <c r="B16" s="164" t="inlineStr">
        <is>
          <t>고급</t>
        </is>
      </c>
      <c r="C16" s="156" t="n">
        <v>140</v>
      </c>
      <c r="D16" s="156" t="n">
        <v>152</v>
      </c>
      <c r="E16" s="156" t="n">
        <v>164</v>
      </c>
      <c r="F16" s="156" t="n">
        <v>176</v>
      </c>
      <c r="G16" s="156" t="n">
        <v>188</v>
      </c>
      <c r="H16" s="156" t="n">
        <v>200</v>
      </c>
      <c r="I16" s="156" t="n">
        <v>212</v>
      </c>
      <c r="J16" s="156" t="n">
        <v>224</v>
      </c>
      <c r="K16" s="156" t="n">
        <v>236</v>
      </c>
      <c r="L16" s="156" t="n">
        <v>248</v>
      </c>
      <c r="M16" s="157" t="n">
        <v>260</v>
      </c>
      <c r="N16" s="153" t="inlineStr">
        <is>
          <t>+12</t>
        </is>
      </c>
    </row>
    <row r="17" ht="16" customHeight="1">
      <c r="B17" s="169" t="inlineStr">
        <is>
          <t>희귀</t>
        </is>
      </c>
      <c r="C17" s="156" t="n">
        <v>160</v>
      </c>
      <c r="D17" s="156" t="n">
        <v>172</v>
      </c>
      <c r="E17" s="156" t="n">
        <v>184</v>
      </c>
      <c r="F17" s="156" t="n">
        <v>196</v>
      </c>
      <c r="G17" s="156" t="n">
        <v>208</v>
      </c>
      <c r="H17" s="156" t="n">
        <v>220</v>
      </c>
      <c r="I17" s="156" t="n">
        <v>232</v>
      </c>
      <c r="J17" s="156" t="n">
        <v>244</v>
      </c>
      <c r="K17" s="156" t="n">
        <v>256</v>
      </c>
      <c r="L17" s="156" t="n">
        <v>268</v>
      </c>
      <c r="M17" s="157" t="n">
        <v>280</v>
      </c>
      <c r="N17" s="153" t="inlineStr">
        <is>
          <t>+12</t>
        </is>
      </c>
    </row>
    <row r="18" ht="16" customHeight="1">
      <c r="B18" s="170" t="inlineStr">
        <is>
          <t>★고대</t>
        </is>
      </c>
      <c r="C18" s="159" t="n">
        <v>180</v>
      </c>
      <c r="D18" s="159" t="n">
        <v>192</v>
      </c>
      <c r="E18" s="159" t="n">
        <v>204</v>
      </c>
      <c r="F18" s="159" t="n">
        <v>216</v>
      </c>
      <c r="G18" s="159" t="n">
        <v>228</v>
      </c>
      <c r="H18" s="159" t="n">
        <v>240</v>
      </c>
      <c r="I18" s="159" t="n">
        <v>252</v>
      </c>
      <c r="J18" s="159" t="n">
        <v>264</v>
      </c>
      <c r="K18" s="159" t="n">
        <v>276</v>
      </c>
      <c r="L18" s="159" t="n">
        <v>288</v>
      </c>
      <c r="M18" s="160" t="n">
        <v>300</v>
      </c>
      <c r="N18" s="153" t="inlineStr">
        <is>
          <t>+12</t>
        </is>
      </c>
    </row>
    <row r="19" ht="8" customHeight="1">
      <c r="A19" s="2" t="n"/>
    </row>
    <row r="20" ht="16" customHeight="1">
      <c r="A20" s="150" t="inlineStr">
        <is>
          <t>T4</t>
        </is>
      </c>
      <c r="B20" s="155" t="inlineStr">
        <is>
          <t>일반</t>
        </is>
      </c>
      <c r="C20" s="162" t="n">
        <v>180</v>
      </c>
      <c r="D20" s="162" t="n">
        <v>194</v>
      </c>
      <c r="E20" s="162" t="n">
        <v>208</v>
      </c>
      <c r="F20" s="162" t="n">
        <v>222</v>
      </c>
      <c r="G20" s="162" t="n">
        <v>236</v>
      </c>
      <c r="H20" s="162" t="n">
        <v>250</v>
      </c>
      <c r="I20" s="162" t="n">
        <v>264</v>
      </c>
      <c r="J20" s="162" t="n">
        <v>278</v>
      </c>
      <c r="K20" s="162" t="n">
        <v>292</v>
      </c>
      <c r="L20" s="162" t="n">
        <v>306</v>
      </c>
      <c r="M20" s="163" t="n">
        <v>320</v>
      </c>
      <c r="N20" s="153" t="inlineStr">
        <is>
          <t>+14</t>
        </is>
      </c>
    </row>
    <row r="21" ht="16" customHeight="1">
      <c r="B21" s="164" t="inlineStr">
        <is>
          <t>고급</t>
        </is>
      </c>
      <c r="C21" s="162" t="n">
        <v>200</v>
      </c>
      <c r="D21" s="162" t="n">
        <v>214</v>
      </c>
      <c r="E21" s="162" t="n">
        <v>228</v>
      </c>
      <c r="F21" s="162" t="n">
        <v>242</v>
      </c>
      <c r="G21" s="162" t="n">
        <v>256</v>
      </c>
      <c r="H21" s="162" t="n">
        <v>270</v>
      </c>
      <c r="I21" s="162" t="n">
        <v>284</v>
      </c>
      <c r="J21" s="162" t="n">
        <v>298</v>
      </c>
      <c r="K21" s="162" t="n">
        <v>312</v>
      </c>
      <c r="L21" s="162" t="n">
        <v>326</v>
      </c>
      <c r="M21" s="163" t="n">
        <v>340</v>
      </c>
      <c r="N21" s="153" t="inlineStr">
        <is>
          <t>+14</t>
        </is>
      </c>
    </row>
    <row r="22" ht="16" customHeight="1">
      <c r="B22" s="169" t="inlineStr">
        <is>
          <t>희귀</t>
        </is>
      </c>
      <c r="C22" s="162" t="n">
        <v>220</v>
      </c>
      <c r="D22" s="162" t="n">
        <v>234</v>
      </c>
      <c r="E22" s="162" t="n">
        <v>248</v>
      </c>
      <c r="F22" s="162" t="n">
        <v>262</v>
      </c>
      <c r="G22" s="162" t="n">
        <v>276</v>
      </c>
      <c r="H22" s="162" t="n">
        <v>290</v>
      </c>
      <c r="I22" s="162" t="n">
        <v>304</v>
      </c>
      <c r="J22" s="162" t="n">
        <v>318</v>
      </c>
      <c r="K22" s="162" t="n">
        <v>332</v>
      </c>
      <c r="L22" s="162" t="n">
        <v>346</v>
      </c>
      <c r="M22" s="163" t="n">
        <v>360</v>
      </c>
      <c r="N22" s="153" t="inlineStr">
        <is>
          <t>+14</t>
        </is>
      </c>
    </row>
    <row r="23" ht="16" customHeight="1">
      <c r="B23" s="171" t="inlineStr">
        <is>
          <t>고대</t>
        </is>
      </c>
      <c r="C23" s="162" t="n">
        <v>240</v>
      </c>
      <c r="D23" s="162" t="n">
        <v>254</v>
      </c>
      <c r="E23" s="162" t="n">
        <v>268</v>
      </c>
      <c r="F23" s="162" t="n">
        <v>282</v>
      </c>
      <c r="G23" s="162" t="n">
        <v>296</v>
      </c>
      <c r="H23" s="162" t="n">
        <v>310</v>
      </c>
      <c r="I23" s="162" t="n">
        <v>324</v>
      </c>
      <c r="J23" s="162" t="n">
        <v>338</v>
      </c>
      <c r="K23" s="162" t="n">
        <v>352</v>
      </c>
      <c r="L23" s="162" t="n">
        <v>366</v>
      </c>
      <c r="M23" s="163" t="n">
        <v>380</v>
      </c>
      <c r="N23" s="153" t="inlineStr">
        <is>
          <t>+14</t>
        </is>
      </c>
    </row>
    <row r="24" ht="16" customHeight="1">
      <c r="B24" s="172" t="inlineStr">
        <is>
          <t>★영웅</t>
        </is>
      </c>
      <c r="C24" s="166" t="n">
        <v>260</v>
      </c>
      <c r="D24" s="166" t="n">
        <v>274</v>
      </c>
      <c r="E24" s="166" t="n">
        <v>288</v>
      </c>
      <c r="F24" s="166" t="n">
        <v>302</v>
      </c>
      <c r="G24" s="166" t="n">
        <v>316</v>
      </c>
      <c r="H24" s="166" t="n">
        <v>330</v>
      </c>
      <c r="I24" s="166" t="n">
        <v>344</v>
      </c>
      <c r="J24" s="166" t="n">
        <v>358</v>
      </c>
      <c r="K24" s="166" t="n">
        <v>372</v>
      </c>
      <c r="L24" s="166" t="n">
        <v>386</v>
      </c>
      <c r="M24" s="167" t="n">
        <v>400</v>
      </c>
      <c r="N24" s="153" t="inlineStr">
        <is>
          <t>+14</t>
        </is>
      </c>
    </row>
    <row r="25" ht="8" customHeight="1">
      <c r="A25" s="2" t="n"/>
    </row>
    <row r="26" ht="16" customHeight="1">
      <c r="A26" s="173" t="inlineStr">
        <is>
          <t>T5</t>
        </is>
      </c>
      <c r="B26" s="155" t="inlineStr">
        <is>
          <t>일반</t>
        </is>
      </c>
      <c r="C26" s="156" t="n">
        <v>260</v>
      </c>
      <c r="D26" s="156" t="n">
        <v>276</v>
      </c>
      <c r="E26" s="156" t="n">
        <v>292</v>
      </c>
      <c r="F26" s="156" t="n">
        <v>308</v>
      </c>
      <c r="G26" s="156" t="n">
        <v>324</v>
      </c>
      <c r="H26" s="156" t="n">
        <v>340</v>
      </c>
      <c r="I26" s="156" t="n">
        <v>356</v>
      </c>
      <c r="J26" s="156" t="n">
        <v>372</v>
      </c>
      <c r="K26" s="156" t="n">
        <v>388</v>
      </c>
      <c r="L26" s="156" t="n">
        <v>404</v>
      </c>
      <c r="M26" s="157" t="n">
        <v>420</v>
      </c>
      <c r="N26" s="153" t="inlineStr">
        <is>
          <t>+16</t>
        </is>
      </c>
    </row>
    <row r="27" ht="16" customHeight="1">
      <c r="B27" s="164" t="inlineStr">
        <is>
          <t>고급</t>
        </is>
      </c>
      <c r="C27" s="156" t="n">
        <v>280</v>
      </c>
      <c r="D27" s="156" t="n">
        <v>296</v>
      </c>
      <c r="E27" s="156" t="n">
        <v>312</v>
      </c>
      <c r="F27" s="156" t="n">
        <v>328</v>
      </c>
      <c r="G27" s="156" t="n">
        <v>344</v>
      </c>
      <c r="H27" s="156" t="n">
        <v>360</v>
      </c>
      <c r="I27" s="156" t="n">
        <v>376</v>
      </c>
      <c r="J27" s="156" t="n">
        <v>392</v>
      </c>
      <c r="K27" s="156" t="n">
        <v>408</v>
      </c>
      <c r="L27" s="156" t="n">
        <v>424</v>
      </c>
      <c r="M27" s="157" t="n">
        <v>440</v>
      </c>
      <c r="N27" s="153" t="inlineStr">
        <is>
          <t>+16</t>
        </is>
      </c>
    </row>
    <row r="28" ht="16" customHeight="1">
      <c r="B28" s="169" t="inlineStr">
        <is>
          <t>희귀</t>
        </is>
      </c>
      <c r="C28" s="156" t="n">
        <v>300</v>
      </c>
      <c r="D28" s="156" t="n">
        <v>316</v>
      </c>
      <c r="E28" s="156" t="n">
        <v>332</v>
      </c>
      <c r="F28" s="156" t="n">
        <v>348</v>
      </c>
      <c r="G28" s="156" t="n">
        <v>364</v>
      </c>
      <c r="H28" s="156" t="n">
        <v>380</v>
      </c>
      <c r="I28" s="156" t="n">
        <v>396</v>
      </c>
      <c r="J28" s="156" t="n">
        <v>412</v>
      </c>
      <c r="K28" s="156" t="n">
        <v>428</v>
      </c>
      <c r="L28" s="156" t="n">
        <v>444</v>
      </c>
      <c r="M28" s="157" t="n">
        <v>460</v>
      </c>
      <c r="N28" s="153" t="inlineStr">
        <is>
          <t>+16</t>
        </is>
      </c>
    </row>
    <row r="29" ht="16" customHeight="1">
      <c r="B29" s="171" t="inlineStr">
        <is>
          <t>고대</t>
        </is>
      </c>
      <c r="C29" s="156" t="n">
        <v>320</v>
      </c>
      <c r="D29" s="156" t="n">
        <v>336</v>
      </c>
      <c r="E29" s="156" t="n">
        <v>352</v>
      </c>
      <c r="F29" s="156" t="n">
        <v>368</v>
      </c>
      <c r="G29" s="156" t="n">
        <v>384</v>
      </c>
      <c r="H29" s="156" t="n">
        <v>400</v>
      </c>
      <c r="I29" s="156" t="n">
        <v>416</v>
      </c>
      <c r="J29" s="156" t="n">
        <v>432</v>
      </c>
      <c r="K29" s="156" t="n">
        <v>448</v>
      </c>
      <c r="L29" s="156" t="n">
        <v>464</v>
      </c>
      <c r="M29" s="157" t="n">
        <v>480</v>
      </c>
      <c r="N29" s="153" t="inlineStr">
        <is>
          <t>+16</t>
        </is>
      </c>
    </row>
    <row r="30" ht="16" customHeight="1">
      <c r="B30" s="174" t="inlineStr">
        <is>
          <t>영웅</t>
        </is>
      </c>
      <c r="C30" s="156" t="n">
        <v>340</v>
      </c>
      <c r="D30" s="156" t="n">
        <v>356</v>
      </c>
      <c r="E30" s="156" t="n">
        <v>372</v>
      </c>
      <c r="F30" s="156" t="n">
        <v>388</v>
      </c>
      <c r="G30" s="156" t="n">
        <v>404</v>
      </c>
      <c r="H30" s="156" t="n">
        <v>420</v>
      </c>
      <c r="I30" s="156" t="n">
        <v>436</v>
      </c>
      <c r="J30" s="156" t="n">
        <v>452</v>
      </c>
      <c r="K30" s="156" t="n">
        <v>468</v>
      </c>
      <c r="L30" s="156" t="n">
        <v>484</v>
      </c>
      <c r="M30" s="157" t="n">
        <v>500</v>
      </c>
      <c r="N30" s="153" t="inlineStr">
        <is>
          <t>+16</t>
        </is>
      </c>
    </row>
    <row r="31" ht="16" customHeight="1">
      <c r="B31" s="175" t="inlineStr">
        <is>
          <t>★유일</t>
        </is>
      </c>
      <c r="C31" s="159" t="n">
        <v>360</v>
      </c>
      <c r="D31" s="159" t="n">
        <v>376</v>
      </c>
      <c r="E31" s="159" t="n">
        <v>392</v>
      </c>
      <c r="F31" s="159" t="n">
        <v>408</v>
      </c>
      <c r="G31" s="159" t="n">
        <v>424</v>
      </c>
      <c r="H31" s="159" t="n">
        <v>440</v>
      </c>
      <c r="I31" s="159" t="n">
        <v>456</v>
      </c>
      <c r="J31" s="159" t="n">
        <v>472</v>
      </c>
      <c r="K31" s="159" t="n">
        <v>488</v>
      </c>
      <c r="L31" s="159" t="n">
        <v>504</v>
      </c>
      <c r="M31" s="160" t="n">
        <v>520</v>
      </c>
      <c r="N31" s="153" t="inlineStr">
        <is>
          <t>+16</t>
        </is>
      </c>
    </row>
    <row r="32" ht="8" customHeight="1">
      <c r="A32" s="2" t="n"/>
    </row>
    <row r="33" ht="16" customHeight="1">
      <c r="A33" s="176" t="inlineStr">
        <is>
          <t>T6</t>
        </is>
      </c>
      <c r="B33" s="155" t="inlineStr">
        <is>
          <t>일반</t>
        </is>
      </c>
      <c r="C33" s="162" t="n">
        <v>360</v>
      </c>
      <c r="D33" s="162" t="n">
        <v>378</v>
      </c>
      <c r="E33" s="162" t="n">
        <v>396</v>
      </c>
      <c r="F33" s="162" t="n">
        <v>414</v>
      </c>
      <c r="G33" s="162" t="n">
        <v>432</v>
      </c>
      <c r="H33" s="162" t="n">
        <v>450</v>
      </c>
      <c r="I33" s="162" t="n">
        <v>468</v>
      </c>
      <c r="J33" s="162" t="n">
        <v>486</v>
      </c>
      <c r="K33" s="162" t="n">
        <v>504</v>
      </c>
      <c r="L33" s="162" t="n">
        <v>522</v>
      </c>
      <c r="M33" s="163" t="n">
        <v>540</v>
      </c>
      <c r="N33" s="153" t="inlineStr">
        <is>
          <t>+18</t>
        </is>
      </c>
    </row>
    <row r="34" ht="16" customHeight="1">
      <c r="B34" s="164" t="inlineStr">
        <is>
          <t>고급</t>
        </is>
      </c>
      <c r="C34" s="162" t="n">
        <v>380</v>
      </c>
      <c r="D34" s="162" t="n">
        <v>398</v>
      </c>
      <c r="E34" s="162" t="n">
        <v>416</v>
      </c>
      <c r="F34" s="162" t="n">
        <v>434</v>
      </c>
      <c r="G34" s="162" t="n">
        <v>452</v>
      </c>
      <c r="H34" s="162" t="n">
        <v>470</v>
      </c>
      <c r="I34" s="162" t="n">
        <v>488</v>
      </c>
      <c r="J34" s="162" t="n">
        <v>506</v>
      </c>
      <c r="K34" s="162" t="n">
        <v>524</v>
      </c>
      <c r="L34" s="162" t="n">
        <v>542</v>
      </c>
      <c r="M34" s="163" t="n">
        <v>560</v>
      </c>
      <c r="N34" s="153" t="inlineStr">
        <is>
          <t>+18</t>
        </is>
      </c>
    </row>
    <row r="35" ht="16" customHeight="1">
      <c r="B35" s="169" t="inlineStr">
        <is>
          <t>희귀</t>
        </is>
      </c>
      <c r="C35" s="162" t="n">
        <v>400</v>
      </c>
      <c r="D35" s="162" t="n">
        <v>418</v>
      </c>
      <c r="E35" s="162" t="n">
        <v>436</v>
      </c>
      <c r="F35" s="162" t="n">
        <v>454</v>
      </c>
      <c r="G35" s="162" t="n">
        <v>472</v>
      </c>
      <c r="H35" s="162" t="n">
        <v>490</v>
      </c>
      <c r="I35" s="162" t="n">
        <v>508</v>
      </c>
      <c r="J35" s="162" t="n">
        <v>526</v>
      </c>
      <c r="K35" s="162" t="n">
        <v>544</v>
      </c>
      <c r="L35" s="162" t="n">
        <v>562</v>
      </c>
      <c r="M35" s="163" t="n">
        <v>580</v>
      </c>
      <c r="N35" s="153" t="inlineStr">
        <is>
          <t>+18</t>
        </is>
      </c>
    </row>
    <row r="36" ht="16" customHeight="1">
      <c r="B36" s="171" t="inlineStr">
        <is>
          <t>고대</t>
        </is>
      </c>
      <c r="C36" s="162" t="n">
        <v>420</v>
      </c>
      <c r="D36" s="162" t="n">
        <v>438</v>
      </c>
      <c r="E36" s="162" t="n">
        <v>456</v>
      </c>
      <c r="F36" s="162" t="n">
        <v>474</v>
      </c>
      <c r="G36" s="162" t="n">
        <v>492</v>
      </c>
      <c r="H36" s="162" t="n">
        <v>510</v>
      </c>
      <c r="I36" s="162" t="n">
        <v>528</v>
      </c>
      <c r="J36" s="162" t="n">
        <v>546</v>
      </c>
      <c r="K36" s="162" t="n">
        <v>564</v>
      </c>
      <c r="L36" s="162" t="n">
        <v>582</v>
      </c>
      <c r="M36" s="163" t="n">
        <v>600</v>
      </c>
      <c r="N36" s="153" t="inlineStr">
        <is>
          <t>+18</t>
        </is>
      </c>
    </row>
    <row r="37" ht="16" customHeight="1">
      <c r="B37" s="174" t="inlineStr">
        <is>
          <t>영웅</t>
        </is>
      </c>
      <c r="C37" s="162" t="n">
        <v>440</v>
      </c>
      <c r="D37" s="162" t="n">
        <v>458</v>
      </c>
      <c r="E37" s="162" t="n">
        <v>476</v>
      </c>
      <c r="F37" s="162" t="n">
        <v>494</v>
      </c>
      <c r="G37" s="162" t="n">
        <v>512</v>
      </c>
      <c r="H37" s="162" t="n">
        <v>530</v>
      </c>
      <c r="I37" s="162" t="n">
        <v>548</v>
      </c>
      <c r="J37" s="162" t="n">
        <v>566</v>
      </c>
      <c r="K37" s="162" t="n">
        <v>584</v>
      </c>
      <c r="L37" s="162" t="n">
        <v>602</v>
      </c>
      <c r="M37" s="163" t="n">
        <v>620</v>
      </c>
      <c r="N37" s="153" t="inlineStr">
        <is>
          <t>+18</t>
        </is>
      </c>
    </row>
    <row r="38" ht="16" customHeight="1">
      <c r="B38" s="177" t="inlineStr">
        <is>
          <t>유일</t>
        </is>
      </c>
      <c r="C38" s="162" t="n">
        <v>460</v>
      </c>
      <c r="D38" s="162" t="n">
        <v>478</v>
      </c>
      <c r="E38" s="162" t="n">
        <v>496</v>
      </c>
      <c r="F38" s="162" t="n">
        <v>514</v>
      </c>
      <c r="G38" s="162" t="n">
        <v>532</v>
      </c>
      <c r="H38" s="162" t="n">
        <v>550</v>
      </c>
      <c r="I38" s="162" t="n">
        <v>568</v>
      </c>
      <c r="J38" s="162" t="n">
        <v>586</v>
      </c>
      <c r="K38" s="162" t="n">
        <v>604</v>
      </c>
      <c r="L38" s="162" t="n">
        <v>622</v>
      </c>
      <c r="M38" s="163" t="n">
        <v>640</v>
      </c>
      <c r="N38" s="153" t="inlineStr">
        <is>
          <t>+18</t>
        </is>
      </c>
    </row>
    <row r="39" ht="16" customHeight="1">
      <c r="B39" s="178" t="inlineStr">
        <is>
          <t>★유물</t>
        </is>
      </c>
      <c r="C39" s="166" t="n">
        <v>480</v>
      </c>
      <c r="D39" s="166" t="n">
        <v>498</v>
      </c>
      <c r="E39" s="166" t="n">
        <v>516</v>
      </c>
      <c r="F39" s="166" t="n">
        <v>534</v>
      </c>
      <c r="G39" s="166" t="n">
        <v>552</v>
      </c>
      <c r="H39" s="166" t="n">
        <v>570</v>
      </c>
      <c r="I39" s="166" t="n">
        <v>588</v>
      </c>
      <c r="J39" s="166" t="n">
        <v>606</v>
      </c>
      <c r="K39" s="166" t="n">
        <v>624</v>
      </c>
      <c r="L39" s="166" t="n">
        <v>642</v>
      </c>
      <c r="M39" s="167" t="n">
        <v>660</v>
      </c>
      <c r="N39" s="153" t="inlineStr">
        <is>
          <t>+18</t>
        </is>
      </c>
    </row>
    <row r="40" ht="8" customHeight="1">
      <c r="A40" s="2" t="n"/>
    </row>
    <row r="41" ht="16" customHeight="1">
      <c r="A41" s="179" t="inlineStr">
        <is>
          <t>T7</t>
        </is>
      </c>
      <c r="B41" s="155" t="inlineStr">
        <is>
          <t>일반</t>
        </is>
      </c>
      <c r="C41" s="156" t="n">
        <v>480</v>
      </c>
      <c r="D41" s="156" t="n">
        <v>500</v>
      </c>
      <c r="E41" s="156" t="n">
        <v>520</v>
      </c>
      <c r="F41" s="156" t="n">
        <v>540</v>
      </c>
      <c r="G41" s="156" t="n">
        <v>560</v>
      </c>
      <c r="H41" s="156" t="n">
        <v>580</v>
      </c>
      <c r="I41" s="156" t="n">
        <v>600</v>
      </c>
      <c r="J41" s="156" t="n">
        <v>620</v>
      </c>
      <c r="K41" s="156" t="n">
        <v>640</v>
      </c>
      <c r="L41" s="156" t="n">
        <v>660</v>
      </c>
      <c r="M41" s="157" t="n">
        <v>680</v>
      </c>
      <c r="N41" s="153" t="inlineStr">
        <is>
          <t>+20</t>
        </is>
      </c>
    </row>
    <row r="42" ht="16" customHeight="1">
      <c r="B42" s="164" t="inlineStr">
        <is>
          <t>고급</t>
        </is>
      </c>
      <c r="C42" s="156" t="n">
        <v>500</v>
      </c>
      <c r="D42" s="156" t="n">
        <v>520</v>
      </c>
      <c r="E42" s="156" t="n">
        <v>540</v>
      </c>
      <c r="F42" s="156" t="n">
        <v>560</v>
      </c>
      <c r="G42" s="156" t="n">
        <v>580</v>
      </c>
      <c r="H42" s="156" t="n">
        <v>600</v>
      </c>
      <c r="I42" s="156" t="n">
        <v>620</v>
      </c>
      <c r="J42" s="156" t="n">
        <v>640</v>
      </c>
      <c r="K42" s="156" t="n">
        <v>660</v>
      </c>
      <c r="L42" s="156" t="n">
        <v>680</v>
      </c>
      <c r="M42" s="157" t="n">
        <v>700</v>
      </c>
      <c r="N42" s="153" t="inlineStr">
        <is>
          <t>+20</t>
        </is>
      </c>
    </row>
    <row r="43" ht="16" customHeight="1">
      <c r="B43" s="169" t="inlineStr">
        <is>
          <t>희귀</t>
        </is>
      </c>
      <c r="C43" s="156" t="n">
        <v>520</v>
      </c>
      <c r="D43" s="156" t="n">
        <v>540</v>
      </c>
      <c r="E43" s="156" t="n">
        <v>560</v>
      </c>
      <c r="F43" s="156" t="n">
        <v>580</v>
      </c>
      <c r="G43" s="156" t="n">
        <v>600</v>
      </c>
      <c r="H43" s="156" t="n">
        <v>620</v>
      </c>
      <c r="I43" s="156" t="n">
        <v>640</v>
      </c>
      <c r="J43" s="156" t="n">
        <v>660</v>
      </c>
      <c r="K43" s="156" t="n">
        <v>680</v>
      </c>
      <c r="L43" s="156" t="n">
        <v>700</v>
      </c>
      <c r="M43" s="157" t="n">
        <v>720</v>
      </c>
      <c r="N43" s="153" t="inlineStr">
        <is>
          <t>+20</t>
        </is>
      </c>
    </row>
    <row r="44" ht="16" customHeight="1">
      <c r="B44" s="171" t="inlineStr">
        <is>
          <t>고대</t>
        </is>
      </c>
      <c r="C44" s="156" t="n">
        <v>540</v>
      </c>
      <c r="D44" s="156" t="n">
        <v>560</v>
      </c>
      <c r="E44" s="156" t="n">
        <v>580</v>
      </c>
      <c r="F44" s="156" t="n">
        <v>600</v>
      </c>
      <c r="G44" s="156" t="n">
        <v>620</v>
      </c>
      <c r="H44" s="156" t="n">
        <v>640</v>
      </c>
      <c r="I44" s="156" t="n">
        <v>660</v>
      </c>
      <c r="J44" s="156" t="n">
        <v>680</v>
      </c>
      <c r="K44" s="156" t="n">
        <v>700</v>
      </c>
      <c r="L44" s="156" t="n">
        <v>720</v>
      </c>
      <c r="M44" s="157" t="n">
        <v>740</v>
      </c>
      <c r="N44" s="153" t="inlineStr">
        <is>
          <t>+20</t>
        </is>
      </c>
    </row>
    <row r="45" ht="16" customHeight="1">
      <c r="B45" s="174" t="inlineStr">
        <is>
          <t>영웅</t>
        </is>
      </c>
      <c r="C45" s="156" t="n">
        <v>560</v>
      </c>
      <c r="D45" s="156" t="n">
        <v>580</v>
      </c>
      <c r="E45" s="156" t="n">
        <v>600</v>
      </c>
      <c r="F45" s="156" t="n">
        <v>620</v>
      </c>
      <c r="G45" s="156" t="n">
        <v>640</v>
      </c>
      <c r="H45" s="156" t="n">
        <v>660</v>
      </c>
      <c r="I45" s="156" t="n">
        <v>680</v>
      </c>
      <c r="J45" s="156" t="n">
        <v>700</v>
      </c>
      <c r="K45" s="156" t="n">
        <v>720</v>
      </c>
      <c r="L45" s="156" t="n">
        <v>740</v>
      </c>
      <c r="M45" s="157" t="n">
        <v>760</v>
      </c>
      <c r="N45" s="153" t="inlineStr">
        <is>
          <t>+20</t>
        </is>
      </c>
    </row>
    <row r="46" ht="16" customHeight="1">
      <c r="B46" s="177" t="inlineStr">
        <is>
          <t>유일</t>
        </is>
      </c>
      <c r="C46" s="156" t="n">
        <v>580</v>
      </c>
      <c r="D46" s="156" t="n">
        <v>600</v>
      </c>
      <c r="E46" s="156" t="n">
        <v>620</v>
      </c>
      <c r="F46" s="156" t="n">
        <v>640</v>
      </c>
      <c r="G46" s="156" t="n">
        <v>660</v>
      </c>
      <c r="H46" s="156" t="n">
        <v>680</v>
      </c>
      <c r="I46" s="156" t="n">
        <v>700</v>
      </c>
      <c r="J46" s="156" t="n">
        <v>720</v>
      </c>
      <c r="K46" s="156" t="n">
        <v>740</v>
      </c>
      <c r="L46" s="156" t="n">
        <v>760</v>
      </c>
      <c r="M46" s="157" t="n">
        <v>780</v>
      </c>
      <c r="N46" s="153" t="inlineStr">
        <is>
          <t>+20</t>
        </is>
      </c>
    </row>
    <row r="47" ht="16" customHeight="1">
      <c r="B47" s="178" t="inlineStr">
        <is>
          <t>★유물</t>
        </is>
      </c>
      <c r="C47" s="159" t="n">
        <v>600</v>
      </c>
      <c r="D47" s="159" t="n">
        <v>620</v>
      </c>
      <c r="E47" s="159" t="n">
        <v>640</v>
      </c>
      <c r="F47" s="159" t="n">
        <v>660</v>
      </c>
      <c r="G47" s="159" t="n">
        <v>680</v>
      </c>
      <c r="H47" s="159" t="n">
        <v>700</v>
      </c>
      <c r="I47" s="159" t="n">
        <v>720</v>
      </c>
      <c r="J47" s="159" t="n">
        <v>740</v>
      </c>
      <c r="K47" s="159" t="n">
        <v>760</v>
      </c>
      <c r="L47" s="159" t="n">
        <v>780</v>
      </c>
      <c r="M47" s="160" t="n">
        <v>800</v>
      </c>
      <c r="N47" s="153" t="inlineStr">
        <is>
          <t>+20</t>
        </is>
      </c>
    </row>
    <row r="48" ht="8" customHeight="1">
      <c r="A48" s="2" t="n"/>
    </row>
    <row r="49" ht="22" customHeight="1">
      <c r="A49" s="3" t="inlineStr">
        <is>
          <t>▶  티어 간 격차 요약  (★최고등급 +10강 기준)</t>
        </is>
      </c>
    </row>
    <row r="50" ht="18" customHeight="1">
      <c r="A50" s="150" t="inlineStr">
        <is>
          <t>티어</t>
        </is>
      </c>
      <c r="B50" s="150" t="inlineStr">
        <is>
          <t>최고등급</t>
        </is>
      </c>
      <c r="C50" s="150" t="inlineStr">
        <is>
          <t>최대 ATK</t>
        </is>
      </c>
      <c r="D50" s="150" t="inlineStr">
        <is>
          <t>전 티어 대비 +</t>
        </is>
      </c>
      <c r="E50" s="150" t="inlineStr">
        <is>
          <t>배율</t>
        </is>
      </c>
      <c r="F50" s="150" t="inlineStr">
        <is>
          <t>비고</t>
        </is>
      </c>
    </row>
    <row r="51" ht="16" customHeight="1">
      <c r="A51" s="180" t="inlineStr">
        <is>
          <t>T1</t>
        </is>
      </c>
      <c r="B51" s="164" t="inlineStr">
        <is>
          <t>고급</t>
        </is>
      </c>
      <c r="C51" s="181" t="n">
        <v>160</v>
      </c>
      <c r="D51" s="182" t="inlineStr">
        <is>
          <t>—</t>
        </is>
      </c>
      <c r="E51" s="182" t="inlineStr">
        <is>
          <t>기준</t>
        </is>
      </c>
      <c r="F51" s="183" t="inlineStr">
        <is>
          <t>최고등급: 고급</t>
        </is>
      </c>
    </row>
    <row r="52" ht="16" customHeight="1">
      <c r="A52" s="184" t="inlineStr">
        <is>
          <t>T2</t>
        </is>
      </c>
      <c r="B52" s="169" t="inlineStr">
        <is>
          <t>희귀</t>
        </is>
      </c>
      <c r="C52" s="185" t="n">
        <v>220</v>
      </c>
      <c r="D52" s="166" t="n">
        <v>60</v>
      </c>
      <c r="E52" s="186" t="inlineStr">
        <is>
          <t>×1.38</t>
        </is>
      </c>
      <c r="F52" s="187" t="inlineStr">
        <is>
          <t>최고등급: 희귀</t>
        </is>
      </c>
    </row>
    <row r="53" ht="16" customHeight="1">
      <c r="A53" s="188" t="inlineStr">
        <is>
          <t>T3</t>
        </is>
      </c>
      <c r="B53" s="171" t="inlineStr">
        <is>
          <t>고대</t>
        </is>
      </c>
      <c r="C53" s="181" t="n">
        <v>300</v>
      </c>
      <c r="D53" s="159" t="n">
        <v>80</v>
      </c>
      <c r="E53" s="189" t="inlineStr">
        <is>
          <t>×1.36</t>
        </is>
      </c>
      <c r="F53" s="183" t="inlineStr">
        <is>
          <t>최고등급: 고대</t>
        </is>
      </c>
    </row>
    <row r="54" ht="16" customHeight="1">
      <c r="A54" s="190" t="inlineStr">
        <is>
          <t>T4</t>
        </is>
      </c>
      <c r="B54" s="174" t="inlineStr">
        <is>
          <t>영웅</t>
        </is>
      </c>
      <c r="C54" s="185" t="n">
        <v>400</v>
      </c>
      <c r="D54" s="166" t="n">
        <v>100</v>
      </c>
      <c r="E54" s="186" t="inlineStr">
        <is>
          <t>×1.33</t>
        </is>
      </c>
      <c r="F54" s="187" t="inlineStr">
        <is>
          <t>최고등급: 영웅</t>
        </is>
      </c>
    </row>
    <row r="55" ht="16" customHeight="1">
      <c r="A55" s="191" t="inlineStr">
        <is>
          <t>T5</t>
        </is>
      </c>
      <c r="B55" s="177" t="inlineStr">
        <is>
          <t>유일</t>
        </is>
      </c>
      <c r="C55" s="181" t="n">
        <v>520</v>
      </c>
      <c r="D55" s="159" t="n">
        <v>120</v>
      </c>
      <c r="E55" s="189" t="inlineStr">
        <is>
          <t>×1.30</t>
        </is>
      </c>
      <c r="F55" s="183" t="inlineStr">
        <is>
          <t>최고등급: 유일</t>
        </is>
      </c>
    </row>
    <row r="56" ht="16" customHeight="1">
      <c r="A56" s="192" t="inlineStr">
        <is>
          <t>T6</t>
        </is>
      </c>
      <c r="B56" s="193" t="inlineStr">
        <is>
          <t>유물</t>
        </is>
      </c>
      <c r="C56" s="185" t="n">
        <v>660</v>
      </c>
      <c r="D56" s="166" t="n">
        <v>140</v>
      </c>
      <c r="E56" s="186" t="inlineStr">
        <is>
          <t>×1.27</t>
        </is>
      </c>
      <c r="F56" s="187" t="inlineStr">
        <is>
          <t>최고등급: 유물</t>
        </is>
      </c>
    </row>
    <row r="57" ht="16" customHeight="1">
      <c r="A57" s="194" t="inlineStr">
        <is>
          <t>T7</t>
        </is>
      </c>
      <c r="B57" s="193" t="inlineStr">
        <is>
          <t>유물</t>
        </is>
      </c>
      <c r="C57" s="181" t="n">
        <v>800</v>
      </c>
      <c r="D57" s="159" t="n">
        <v>140</v>
      </c>
      <c r="E57" s="189" t="inlineStr">
        <is>
          <t>×1.21</t>
        </is>
      </c>
      <c r="F57" s="183" t="inlineStr">
        <is>
          <t>최고등급: 유물</t>
        </is>
      </c>
    </row>
  </sheetData>
  <mergeCells count="19">
    <mergeCell ref="A40:N40"/>
    <mergeCell ref="A48:N48"/>
    <mergeCell ref="A20:A24"/>
    <mergeCell ref="A49:N49"/>
    <mergeCell ref="A1:N1"/>
    <mergeCell ref="A6:N6"/>
    <mergeCell ref="A33:A39"/>
    <mergeCell ref="A25:N25"/>
    <mergeCell ref="A8:A9"/>
    <mergeCell ref="A3:N3"/>
    <mergeCell ref="A26:A31"/>
    <mergeCell ref="A11:A13"/>
    <mergeCell ref="A5:N5"/>
    <mergeCell ref="A32:N32"/>
    <mergeCell ref="A14:N14"/>
    <mergeCell ref="A19:N19"/>
    <mergeCell ref="A15:A18"/>
    <mergeCell ref="A10:N10"/>
    <mergeCell ref="A41:A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9" customWidth="1" min="14" max="14"/>
  </cols>
  <sheetData>
    <row r="1" ht="32" customHeight="1">
      <c r="A1" s="7" t="inlineStr">
        <is>
          <t>🛡  방어구 — DEF 수치표</t>
        </is>
      </c>
    </row>
    <row r="3" ht="22" customHeight="1">
      <c r="A3" s="8" t="inlineStr">
        <is>
          <t>등급 색상 범례</t>
        </is>
      </c>
    </row>
    <row r="4" ht="16" customHeight="1">
      <c r="A4" s="141" t="inlineStr">
        <is>
          <t>등급 →</t>
        </is>
      </c>
      <c r="B4" s="142" t="inlineStr"/>
      <c r="C4" s="143" t="inlineStr">
        <is>
          <t>일반</t>
        </is>
      </c>
      <c r="D4" s="144" t="inlineStr">
        <is>
          <t>고급</t>
        </is>
      </c>
      <c r="E4" s="145" t="inlineStr">
        <is>
          <t>희귀</t>
        </is>
      </c>
      <c r="F4" s="146" t="inlineStr">
        <is>
          <t>고대</t>
        </is>
      </c>
      <c r="G4" s="147" t="inlineStr">
        <is>
          <t>영웅</t>
        </is>
      </c>
      <c r="H4" s="148" t="inlineStr">
        <is>
          <t>유일</t>
        </is>
      </c>
      <c r="I4" s="149" t="inlineStr">
        <is>
          <t>유물</t>
        </is>
      </c>
      <c r="J4" s="142" t="inlineStr"/>
      <c r="K4" s="142" t="inlineStr"/>
      <c r="L4" s="142" t="inlineStr"/>
      <c r="M4" s="142" t="inlineStr"/>
      <c r="N4" s="142" t="inlineStr"/>
    </row>
    <row r="5" ht="8" customHeight="1">
      <c r="A5" s="2" t="n"/>
    </row>
    <row r="6" ht="22" customHeight="1">
      <c r="A6" s="3" t="inlineStr">
        <is>
          <t>▶  티어 × 등급 × 강화  DEF 수치표  (★ = 해당 티어 최고 등급)</t>
        </is>
      </c>
    </row>
    <row r="7" ht="18" customHeight="1">
      <c r="A7" s="150" t="inlineStr">
        <is>
          <t>티어</t>
        </is>
      </c>
      <c r="B7" s="150" t="inlineStr">
        <is>
          <t>등급</t>
        </is>
      </c>
      <c r="C7" s="151" t="inlineStr">
        <is>
          <t>+0강</t>
        </is>
      </c>
      <c r="D7" s="151" t="inlineStr">
        <is>
          <t>+1강</t>
        </is>
      </c>
      <c r="E7" s="151" t="inlineStr">
        <is>
          <t>+2강</t>
        </is>
      </c>
      <c r="F7" s="151" t="inlineStr">
        <is>
          <t>+3강</t>
        </is>
      </c>
      <c r="G7" s="151" t="inlineStr">
        <is>
          <t>+4강</t>
        </is>
      </c>
      <c r="H7" s="151" t="inlineStr">
        <is>
          <t>+5강</t>
        </is>
      </c>
      <c r="I7" s="151" t="inlineStr">
        <is>
          <t>+6강</t>
        </is>
      </c>
      <c r="J7" s="151" t="inlineStr">
        <is>
          <t>+7강</t>
        </is>
      </c>
      <c r="K7" s="151" t="inlineStr">
        <is>
          <t>+8강</t>
        </is>
      </c>
      <c r="L7" s="151" t="inlineStr">
        <is>
          <t>+9강</t>
        </is>
      </c>
      <c r="M7" s="152" t="inlineStr">
        <is>
          <t>+10강</t>
        </is>
      </c>
      <c r="N7" s="153" t="inlineStr">
        <is>
          <t>+/단계</t>
        </is>
      </c>
    </row>
    <row r="8" ht="16" customHeight="1">
      <c r="A8" s="154" t="inlineStr">
        <is>
          <t>T1</t>
        </is>
      </c>
      <c r="B8" s="155" t="inlineStr">
        <is>
          <t>일반</t>
        </is>
      </c>
      <c r="C8" s="156" t="n">
        <v>30</v>
      </c>
      <c r="D8" s="156" t="n">
        <v>34</v>
      </c>
      <c r="E8" s="156" t="n">
        <v>38</v>
      </c>
      <c r="F8" s="156" t="n">
        <v>42</v>
      </c>
      <c r="G8" s="156" t="n">
        <v>46</v>
      </c>
      <c r="H8" s="156" t="n">
        <v>50</v>
      </c>
      <c r="I8" s="156" t="n">
        <v>54</v>
      </c>
      <c r="J8" s="156" t="n">
        <v>58</v>
      </c>
      <c r="K8" s="156" t="n">
        <v>62</v>
      </c>
      <c r="L8" s="156" t="n">
        <v>66</v>
      </c>
      <c r="M8" s="157" t="n">
        <v>70</v>
      </c>
      <c r="N8" s="153" t="inlineStr">
        <is>
          <t>+4</t>
        </is>
      </c>
    </row>
    <row r="9" ht="16" customHeight="1">
      <c r="B9" s="158" t="inlineStr">
        <is>
          <t>★고급</t>
        </is>
      </c>
      <c r="C9" s="159" t="n">
        <v>40</v>
      </c>
      <c r="D9" s="159" t="n">
        <v>44</v>
      </c>
      <c r="E9" s="159" t="n">
        <v>48</v>
      </c>
      <c r="F9" s="159" t="n">
        <v>52</v>
      </c>
      <c r="G9" s="159" t="n">
        <v>56</v>
      </c>
      <c r="H9" s="159" t="n">
        <v>60</v>
      </c>
      <c r="I9" s="159" t="n">
        <v>64</v>
      </c>
      <c r="J9" s="159" t="n">
        <v>68</v>
      </c>
      <c r="K9" s="159" t="n">
        <v>72</v>
      </c>
      <c r="L9" s="159" t="n">
        <v>76</v>
      </c>
      <c r="M9" s="160" t="n">
        <v>80</v>
      </c>
      <c r="N9" s="153" t="inlineStr">
        <is>
          <t>+4</t>
        </is>
      </c>
    </row>
    <row r="10" ht="8" customHeight="1">
      <c r="A10" s="2" t="n"/>
    </row>
    <row r="11" ht="16" customHeight="1">
      <c r="A11" s="161" t="inlineStr">
        <is>
          <t>T2</t>
        </is>
      </c>
      <c r="B11" s="155" t="inlineStr">
        <is>
          <t>일반</t>
        </is>
      </c>
      <c r="C11" s="162" t="n">
        <v>40</v>
      </c>
      <c r="D11" s="162" t="n">
        <v>45</v>
      </c>
      <c r="E11" s="162" t="n">
        <v>50</v>
      </c>
      <c r="F11" s="162" t="n">
        <v>55</v>
      </c>
      <c r="G11" s="162" t="n">
        <v>60</v>
      </c>
      <c r="H11" s="162" t="n">
        <v>65</v>
      </c>
      <c r="I11" s="162" t="n">
        <v>70</v>
      </c>
      <c r="J11" s="162" t="n">
        <v>75</v>
      </c>
      <c r="K11" s="162" t="n">
        <v>80</v>
      </c>
      <c r="L11" s="162" t="n">
        <v>85</v>
      </c>
      <c r="M11" s="163" t="n">
        <v>90</v>
      </c>
      <c r="N11" s="153" t="inlineStr">
        <is>
          <t>+5</t>
        </is>
      </c>
    </row>
    <row r="12" ht="16" customHeight="1">
      <c r="B12" s="164" t="inlineStr">
        <is>
          <t>고급</t>
        </is>
      </c>
      <c r="C12" s="162" t="n">
        <v>50</v>
      </c>
      <c r="D12" s="162" t="n">
        <v>55</v>
      </c>
      <c r="E12" s="162" t="n">
        <v>60</v>
      </c>
      <c r="F12" s="162" t="n">
        <v>65</v>
      </c>
      <c r="G12" s="162" t="n">
        <v>70</v>
      </c>
      <c r="H12" s="162" t="n">
        <v>75</v>
      </c>
      <c r="I12" s="162" t="n">
        <v>80</v>
      </c>
      <c r="J12" s="162" t="n">
        <v>85</v>
      </c>
      <c r="K12" s="162" t="n">
        <v>90</v>
      </c>
      <c r="L12" s="162" t="n">
        <v>95</v>
      </c>
      <c r="M12" s="163" t="n">
        <v>100</v>
      </c>
      <c r="N12" s="153" t="inlineStr">
        <is>
          <t>+5</t>
        </is>
      </c>
    </row>
    <row r="13" ht="16" customHeight="1">
      <c r="B13" s="165" t="inlineStr">
        <is>
          <t>★희귀</t>
        </is>
      </c>
      <c r="C13" s="166" t="n">
        <v>60</v>
      </c>
      <c r="D13" s="166" t="n">
        <v>65</v>
      </c>
      <c r="E13" s="166" t="n">
        <v>70</v>
      </c>
      <c r="F13" s="166" t="n">
        <v>75</v>
      </c>
      <c r="G13" s="166" t="n">
        <v>80</v>
      </c>
      <c r="H13" s="166" t="n">
        <v>85</v>
      </c>
      <c r="I13" s="166" t="n">
        <v>90</v>
      </c>
      <c r="J13" s="166" t="n">
        <v>95</v>
      </c>
      <c r="K13" s="166" t="n">
        <v>100</v>
      </c>
      <c r="L13" s="166" t="n">
        <v>105</v>
      </c>
      <c r="M13" s="167" t="n">
        <v>110</v>
      </c>
      <c r="N13" s="153" t="inlineStr">
        <is>
          <t>+5</t>
        </is>
      </c>
    </row>
    <row r="14" ht="8" customHeight="1">
      <c r="A14" s="2" t="n"/>
    </row>
    <row r="15" ht="16" customHeight="1">
      <c r="A15" s="168" t="inlineStr">
        <is>
          <t>T3</t>
        </is>
      </c>
      <c r="B15" s="155" t="inlineStr">
        <is>
          <t>일반</t>
        </is>
      </c>
      <c r="C15" s="156" t="n">
        <v>60</v>
      </c>
      <c r="D15" s="156" t="n">
        <v>66</v>
      </c>
      <c r="E15" s="156" t="n">
        <v>72</v>
      </c>
      <c r="F15" s="156" t="n">
        <v>78</v>
      </c>
      <c r="G15" s="156" t="n">
        <v>84</v>
      </c>
      <c r="H15" s="156" t="n">
        <v>90</v>
      </c>
      <c r="I15" s="156" t="n">
        <v>96</v>
      </c>
      <c r="J15" s="156" t="n">
        <v>102</v>
      </c>
      <c r="K15" s="156" t="n">
        <v>108</v>
      </c>
      <c r="L15" s="156" t="n">
        <v>114</v>
      </c>
      <c r="M15" s="157" t="n">
        <v>120</v>
      </c>
      <c r="N15" s="153" t="inlineStr">
        <is>
          <t>+6</t>
        </is>
      </c>
    </row>
    <row r="16" ht="16" customHeight="1">
      <c r="B16" s="164" t="inlineStr">
        <is>
          <t>고급</t>
        </is>
      </c>
      <c r="C16" s="156" t="n">
        <v>70</v>
      </c>
      <c r="D16" s="156" t="n">
        <v>76</v>
      </c>
      <c r="E16" s="156" t="n">
        <v>82</v>
      </c>
      <c r="F16" s="156" t="n">
        <v>88</v>
      </c>
      <c r="G16" s="156" t="n">
        <v>94</v>
      </c>
      <c r="H16" s="156" t="n">
        <v>100</v>
      </c>
      <c r="I16" s="156" t="n">
        <v>106</v>
      </c>
      <c r="J16" s="156" t="n">
        <v>112</v>
      </c>
      <c r="K16" s="156" t="n">
        <v>118</v>
      </c>
      <c r="L16" s="156" t="n">
        <v>124</v>
      </c>
      <c r="M16" s="157" t="n">
        <v>130</v>
      </c>
      <c r="N16" s="153" t="inlineStr">
        <is>
          <t>+6</t>
        </is>
      </c>
    </row>
    <row r="17" ht="16" customHeight="1">
      <c r="B17" s="169" t="inlineStr">
        <is>
          <t>희귀</t>
        </is>
      </c>
      <c r="C17" s="156" t="n">
        <v>80</v>
      </c>
      <c r="D17" s="156" t="n">
        <v>86</v>
      </c>
      <c r="E17" s="156" t="n">
        <v>92</v>
      </c>
      <c r="F17" s="156" t="n">
        <v>98</v>
      </c>
      <c r="G17" s="156" t="n">
        <v>104</v>
      </c>
      <c r="H17" s="156" t="n">
        <v>110</v>
      </c>
      <c r="I17" s="156" t="n">
        <v>116</v>
      </c>
      <c r="J17" s="156" t="n">
        <v>122</v>
      </c>
      <c r="K17" s="156" t="n">
        <v>128</v>
      </c>
      <c r="L17" s="156" t="n">
        <v>134</v>
      </c>
      <c r="M17" s="157" t="n">
        <v>140</v>
      </c>
      <c r="N17" s="153" t="inlineStr">
        <is>
          <t>+6</t>
        </is>
      </c>
    </row>
    <row r="18" ht="16" customHeight="1">
      <c r="B18" s="170" t="inlineStr">
        <is>
          <t>★고대</t>
        </is>
      </c>
      <c r="C18" s="159" t="n">
        <v>90</v>
      </c>
      <c r="D18" s="159" t="n">
        <v>96</v>
      </c>
      <c r="E18" s="159" t="n">
        <v>102</v>
      </c>
      <c r="F18" s="159" t="n">
        <v>108</v>
      </c>
      <c r="G18" s="159" t="n">
        <v>114</v>
      </c>
      <c r="H18" s="159" t="n">
        <v>120</v>
      </c>
      <c r="I18" s="159" t="n">
        <v>126</v>
      </c>
      <c r="J18" s="159" t="n">
        <v>132</v>
      </c>
      <c r="K18" s="159" t="n">
        <v>138</v>
      </c>
      <c r="L18" s="159" t="n">
        <v>144</v>
      </c>
      <c r="M18" s="160" t="n">
        <v>150</v>
      </c>
      <c r="N18" s="153" t="inlineStr">
        <is>
          <t>+6</t>
        </is>
      </c>
    </row>
    <row r="19" ht="8" customHeight="1">
      <c r="A19" s="2" t="n"/>
    </row>
    <row r="20" ht="16" customHeight="1">
      <c r="A20" s="150" t="inlineStr">
        <is>
          <t>T4</t>
        </is>
      </c>
      <c r="B20" s="155" t="inlineStr">
        <is>
          <t>일반</t>
        </is>
      </c>
      <c r="C20" s="162" t="n">
        <v>90</v>
      </c>
      <c r="D20" s="162" t="n">
        <v>97</v>
      </c>
      <c r="E20" s="162" t="n">
        <v>104</v>
      </c>
      <c r="F20" s="162" t="n">
        <v>111</v>
      </c>
      <c r="G20" s="162" t="n">
        <v>118</v>
      </c>
      <c r="H20" s="162" t="n">
        <v>125</v>
      </c>
      <c r="I20" s="162" t="n">
        <v>132</v>
      </c>
      <c r="J20" s="162" t="n">
        <v>139</v>
      </c>
      <c r="K20" s="162" t="n">
        <v>146</v>
      </c>
      <c r="L20" s="162" t="n">
        <v>153</v>
      </c>
      <c r="M20" s="163" t="n">
        <v>160</v>
      </c>
      <c r="N20" s="153" t="inlineStr">
        <is>
          <t>+7</t>
        </is>
      </c>
    </row>
    <row r="21" ht="16" customHeight="1">
      <c r="B21" s="164" t="inlineStr">
        <is>
          <t>고급</t>
        </is>
      </c>
      <c r="C21" s="162" t="n">
        <v>100</v>
      </c>
      <c r="D21" s="162" t="n">
        <v>107</v>
      </c>
      <c r="E21" s="162" t="n">
        <v>114</v>
      </c>
      <c r="F21" s="162" t="n">
        <v>121</v>
      </c>
      <c r="G21" s="162" t="n">
        <v>128</v>
      </c>
      <c r="H21" s="162" t="n">
        <v>135</v>
      </c>
      <c r="I21" s="162" t="n">
        <v>142</v>
      </c>
      <c r="J21" s="162" t="n">
        <v>149</v>
      </c>
      <c r="K21" s="162" t="n">
        <v>156</v>
      </c>
      <c r="L21" s="162" t="n">
        <v>163</v>
      </c>
      <c r="M21" s="163" t="n">
        <v>170</v>
      </c>
      <c r="N21" s="153" t="inlineStr">
        <is>
          <t>+7</t>
        </is>
      </c>
    </row>
    <row r="22" ht="16" customHeight="1">
      <c r="B22" s="169" t="inlineStr">
        <is>
          <t>희귀</t>
        </is>
      </c>
      <c r="C22" s="162" t="n">
        <v>110</v>
      </c>
      <c r="D22" s="162" t="n">
        <v>117</v>
      </c>
      <c r="E22" s="162" t="n">
        <v>124</v>
      </c>
      <c r="F22" s="162" t="n">
        <v>131</v>
      </c>
      <c r="G22" s="162" t="n">
        <v>138</v>
      </c>
      <c r="H22" s="162" t="n">
        <v>145</v>
      </c>
      <c r="I22" s="162" t="n">
        <v>152</v>
      </c>
      <c r="J22" s="162" t="n">
        <v>159</v>
      </c>
      <c r="K22" s="162" t="n">
        <v>166</v>
      </c>
      <c r="L22" s="162" t="n">
        <v>173</v>
      </c>
      <c r="M22" s="163" t="n">
        <v>180</v>
      </c>
      <c r="N22" s="153" t="inlineStr">
        <is>
          <t>+7</t>
        </is>
      </c>
    </row>
    <row r="23" ht="16" customHeight="1">
      <c r="B23" s="171" t="inlineStr">
        <is>
          <t>고대</t>
        </is>
      </c>
      <c r="C23" s="162" t="n">
        <v>120</v>
      </c>
      <c r="D23" s="162" t="n">
        <v>127</v>
      </c>
      <c r="E23" s="162" t="n">
        <v>134</v>
      </c>
      <c r="F23" s="162" t="n">
        <v>141</v>
      </c>
      <c r="G23" s="162" t="n">
        <v>148</v>
      </c>
      <c r="H23" s="162" t="n">
        <v>155</v>
      </c>
      <c r="I23" s="162" t="n">
        <v>162</v>
      </c>
      <c r="J23" s="162" t="n">
        <v>169</v>
      </c>
      <c r="K23" s="162" t="n">
        <v>176</v>
      </c>
      <c r="L23" s="162" t="n">
        <v>183</v>
      </c>
      <c r="M23" s="163" t="n">
        <v>190</v>
      </c>
      <c r="N23" s="153" t="inlineStr">
        <is>
          <t>+7</t>
        </is>
      </c>
    </row>
    <row r="24" ht="16" customHeight="1">
      <c r="B24" s="172" t="inlineStr">
        <is>
          <t>★영웅</t>
        </is>
      </c>
      <c r="C24" s="166" t="n">
        <v>130</v>
      </c>
      <c r="D24" s="166" t="n">
        <v>137</v>
      </c>
      <c r="E24" s="166" t="n">
        <v>144</v>
      </c>
      <c r="F24" s="166" t="n">
        <v>151</v>
      </c>
      <c r="G24" s="166" t="n">
        <v>158</v>
      </c>
      <c r="H24" s="166" t="n">
        <v>165</v>
      </c>
      <c r="I24" s="166" t="n">
        <v>172</v>
      </c>
      <c r="J24" s="166" t="n">
        <v>179</v>
      </c>
      <c r="K24" s="166" t="n">
        <v>186</v>
      </c>
      <c r="L24" s="166" t="n">
        <v>193</v>
      </c>
      <c r="M24" s="167" t="n">
        <v>200</v>
      </c>
      <c r="N24" s="153" t="inlineStr">
        <is>
          <t>+7</t>
        </is>
      </c>
    </row>
    <row r="25" ht="8" customHeight="1">
      <c r="A25" s="2" t="n"/>
    </row>
    <row r="26" ht="16" customHeight="1">
      <c r="A26" s="173" t="inlineStr">
        <is>
          <t>T5</t>
        </is>
      </c>
      <c r="B26" s="155" t="inlineStr">
        <is>
          <t>일반</t>
        </is>
      </c>
      <c r="C26" s="156" t="n">
        <v>130</v>
      </c>
      <c r="D26" s="156" t="n">
        <v>138</v>
      </c>
      <c r="E26" s="156" t="n">
        <v>146</v>
      </c>
      <c r="F26" s="156" t="n">
        <v>154</v>
      </c>
      <c r="G26" s="156" t="n">
        <v>162</v>
      </c>
      <c r="H26" s="156" t="n">
        <v>170</v>
      </c>
      <c r="I26" s="156" t="n">
        <v>178</v>
      </c>
      <c r="J26" s="156" t="n">
        <v>186</v>
      </c>
      <c r="K26" s="156" t="n">
        <v>194</v>
      </c>
      <c r="L26" s="156" t="n">
        <v>202</v>
      </c>
      <c r="M26" s="157" t="n">
        <v>210</v>
      </c>
      <c r="N26" s="153" t="inlineStr">
        <is>
          <t>+8</t>
        </is>
      </c>
    </row>
    <row r="27" ht="16" customHeight="1">
      <c r="B27" s="164" t="inlineStr">
        <is>
          <t>고급</t>
        </is>
      </c>
      <c r="C27" s="156" t="n">
        <v>140</v>
      </c>
      <c r="D27" s="156" t="n">
        <v>148</v>
      </c>
      <c r="E27" s="156" t="n">
        <v>156</v>
      </c>
      <c r="F27" s="156" t="n">
        <v>164</v>
      </c>
      <c r="G27" s="156" t="n">
        <v>172</v>
      </c>
      <c r="H27" s="156" t="n">
        <v>180</v>
      </c>
      <c r="I27" s="156" t="n">
        <v>188</v>
      </c>
      <c r="J27" s="156" t="n">
        <v>196</v>
      </c>
      <c r="K27" s="156" t="n">
        <v>204</v>
      </c>
      <c r="L27" s="156" t="n">
        <v>212</v>
      </c>
      <c r="M27" s="157" t="n">
        <v>220</v>
      </c>
      <c r="N27" s="153" t="inlineStr">
        <is>
          <t>+8</t>
        </is>
      </c>
    </row>
    <row r="28" ht="16" customHeight="1">
      <c r="B28" s="169" t="inlineStr">
        <is>
          <t>희귀</t>
        </is>
      </c>
      <c r="C28" s="156" t="n">
        <v>150</v>
      </c>
      <c r="D28" s="156" t="n">
        <v>158</v>
      </c>
      <c r="E28" s="156" t="n">
        <v>166</v>
      </c>
      <c r="F28" s="156" t="n">
        <v>174</v>
      </c>
      <c r="G28" s="156" t="n">
        <v>182</v>
      </c>
      <c r="H28" s="156" t="n">
        <v>190</v>
      </c>
      <c r="I28" s="156" t="n">
        <v>198</v>
      </c>
      <c r="J28" s="156" t="n">
        <v>206</v>
      </c>
      <c r="K28" s="156" t="n">
        <v>214</v>
      </c>
      <c r="L28" s="156" t="n">
        <v>222</v>
      </c>
      <c r="M28" s="157" t="n">
        <v>230</v>
      </c>
      <c r="N28" s="153" t="inlineStr">
        <is>
          <t>+8</t>
        </is>
      </c>
    </row>
    <row r="29" ht="16" customHeight="1">
      <c r="B29" s="171" t="inlineStr">
        <is>
          <t>고대</t>
        </is>
      </c>
      <c r="C29" s="156" t="n">
        <v>160</v>
      </c>
      <c r="D29" s="156" t="n">
        <v>168</v>
      </c>
      <c r="E29" s="156" t="n">
        <v>176</v>
      </c>
      <c r="F29" s="156" t="n">
        <v>184</v>
      </c>
      <c r="G29" s="156" t="n">
        <v>192</v>
      </c>
      <c r="H29" s="156" t="n">
        <v>200</v>
      </c>
      <c r="I29" s="156" t="n">
        <v>208</v>
      </c>
      <c r="J29" s="156" t="n">
        <v>216</v>
      </c>
      <c r="K29" s="156" t="n">
        <v>224</v>
      </c>
      <c r="L29" s="156" t="n">
        <v>232</v>
      </c>
      <c r="M29" s="157" t="n">
        <v>240</v>
      </c>
      <c r="N29" s="153" t="inlineStr">
        <is>
          <t>+8</t>
        </is>
      </c>
    </row>
    <row r="30" ht="16" customHeight="1">
      <c r="B30" s="174" t="inlineStr">
        <is>
          <t>영웅</t>
        </is>
      </c>
      <c r="C30" s="156" t="n">
        <v>170</v>
      </c>
      <c r="D30" s="156" t="n">
        <v>178</v>
      </c>
      <c r="E30" s="156" t="n">
        <v>186</v>
      </c>
      <c r="F30" s="156" t="n">
        <v>194</v>
      </c>
      <c r="G30" s="156" t="n">
        <v>202</v>
      </c>
      <c r="H30" s="156" t="n">
        <v>210</v>
      </c>
      <c r="I30" s="156" t="n">
        <v>218</v>
      </c>
      <c r="J30" s="156" t="n">
        <v>226</v>
      </c>
      <c r="K30" s="156" t="n">
        <v>234</v>
      </c>
      <c r="L30" s="156" t="n">
        <v>242</v>
      </c>
      <c r="M30" s="157" t="n">
        <v>250</v>
      </c>
      <c r="N30" s="153" t="inlineStr">
        <is>
          <t>+8</t>
        </is>
      </c>
    </row>
    <row r="31" ht="16" customHeight="1">
      <c r="B31" s="175" t="inlineStr">
        <is>
          <t>★유일</t>
        </is>
      </c>
      <c r="C31" s="159" t="n">
        <v>180</v>
      </c>
      <c r="D31" s="159" t="n">
        <v>188</v>
      </c>
      <c r="E31" s="159" t="n">
        <v>196</v>
      </c>
      <c r="F31" s="159" t="n">
        <v>204</v>
      </c>
      <c r="G31" s="159" t="n">
        <v>212</v>
      </c>
      <c r="H31" s="159" t="n">
        <v>220</v>
      </c>
      <c r="I31" s="159" t="n">
        <v>228</v>
      </c>
      <c r="J31" s="159" t="n">
        <v>236</v>
      </c>
      <c r="K31" s="159" t="n">
        <v>244</v>
      </c>
      <c r="L31" s="159" t="n">
        <v>252</v>
      </c>
      <c r="M31" s="160" t="n">
        <v>260</v>
      </c>
      <c r="N31" s="153" t="inlineStr">
        <is>
          <t>+8</t>
        </is>
      </c>
    </row>
    <row r="32" ht="8" customHeight="1">
      <c r="A32" s="2" t="n"/>
    </row>
    <row r="33" ht="16" customHeight="1">
      <c r="A33" s="176" t="inlineStr">
        <is>
          <t>T6</t>
        </is>
      </c>
      <c r="B33" s="155" t="inlineStr">
        <is>
          <t>일반</t>
        </is>
      </c>
      <c r="C33" s="162" t="n">
        <v>180</v>
      </c>
      <c r="D33" s="162" t="n">
        <v>189</v>
      </c>
      <c r="E33" s="162" t="n">
        <v>198</v>
      </c>
      <c r="F33" s="162" t="n">
        <v>207</v>
      </c>
      <c r="G33" s="162" t="n">
        <v>216</v>
      </c>
      <c r="H33" s="162" t="n">
        <v>225</v>
      </c>
      <c r="I33" s="162" t="n">
        <v>234</v>
      </c>
      <c r="J33" s="162" t="n">
        <v>243</v>
      </c>
      <c r="K33" s="162" t="n">
        <v>252</v>
      </c>
      <c r="L33" s="162" t="n">
        <v>261</v>
      </c>
      <c r="M33" s="163" t="n">
        <v>270</v>
      </c>
      <c r="N33" s="153" t="inlineStr">
        <is>
          <t>+9</t>
        </is>
      </c>
    </row>
    <row r="34" ht="16" customHeight="1">
      <c r="B34" s="164" t="inlineStr">
        <is>
          <t>고급</t>
        </is>
      </c>
      <c r="C34" s="162" t="n">
        <v>190</v>
      </c>
      <c r="D34" s="162" t="n">
        <v>199</v>
      </c>
      <c r="E34" s="162" t="n">
        <v>208</v>
      </c>
      <c r="F34" s="162" t="n">
        <v>217</v>
      </c>
      <c r="G34" s="162" t="n">
        <v>226</v>
      </c>
      <c r="H34" s="162" t="n">
        <v>235</v>
      </c>
      <c r="I34" s="162" t="n">
        <v>244</v>
      </c>
      <c r="J34" s="162" t="n">
        <v>253</v>
      </c>
      <c r="K34" s="162" t="n">
        <v>262</v>
      </c>
      <c r="L34" s="162" t="n">
        <v>271</v>
      </c>
      <c r="M34" s="163" t="n">
        <v>280</v>
      </c>
      <c r="N34" s="153" t="inlineStr">
        <is>
          <t>+9</t>
        </is>
      </c>
    </row>
    <row r="35" ht="16" customHeight="1">
      <c r="B35" s="169" t="inlineStr">
        <is>
          <t>희귀</t>
        </is>
      </c>
      <c r="C35" s="162" t="n">
        <v>200</v>
      </c>
      <c r="D35" s="162" t="n">
        <v>209</v>
      </c>
      <c r="E35" s="162" t="n">
        <v>218</v>
      </c>
      <c r="F35" s="162" t="n">
        <v>227</v>
      </c>
      <c r="G35" s="162" t="n">
        <v>236</v>
      </c>
      <c r="H35" s="162" t="n">
        <v>245</v>
      </c>
      <c r="I35" s="162" t="n">
        <v>254</v>
      </c>
      <c r="J35" s="162" t="n">
        <v>263</v>
      </c>
      <c r="K35" s="162" t="n">
        <v>272</v>
      </c>
      <c r="L35" s="162" t="n">
        <v>281</v>
      </c>
      <c r="M35" s="163" t="n">
        <v>290</v>
      </c>
      <c r="N35" s="153" t="inlineStr">
        <is>
          <t>+9</t>
        </is>
      </c>
    </row>
    <row r="36" ht="16" customHeight="1">
      <c r="B36" s="171" t="inlineStr">
        <is>
          <t>고대</t>
        </is>
      </c>
      <c r="C36" s="162" t="n">
        <v>210</v>
      </c>
      <c r="D36" s="162" t="n">
        <v>219</v>
      </c>
      <c r="E36" s="162" t="n">
        <v>228</v>
      </c>
      <c r="F36" s="162" t="n">
        <v>237</v>
      </c>
      <c r="G36" s="162" t="n">
        <v>246</v>
      </c>
      <c r="H36" s="162" t="n">
        <v>255</v>
      </c>
      <c r="I36" s="162" t="n">
        <v>264</v>
      </c>
      <c r="J36" s="162" t="n">
        <v>273</v>
      </c>
      <c r="K36" s="162" t="n">
        <v>282</v>
      </c>
      <c r="L36" s="162" t="n">
        <v>291</v>
      </c>
      <c r="M36" s="163" t="n">
        <v>300</v>
      </c>
      <c r="N36" s="153" t="inlineStr">
        <is>
          <t>+9</t>
        </is>
      </c>
    </row>
    <row r="37" ht="16" customHeight="1">
      <c r="B37" s="174" t="inlineStr">
        <is>
          <t>영웅</t>
        </is>
      </c>
      <c r="C37" s="162" t="n">
        <v>220</v>
      </c>
      <c r="D37" s="162" t="n">
        <v>229</v>
      </c>
      <c r="E37" s="162" t="n">
        <v>238</v>
      </c>
      <c r="F37" s="162" t="n">
        <v>247</v>
      </c>
      <c r="G37" s="162" t="n">
        <v>256</v>
      </c>
      <c r="H37" s="162" t="n">
        <v>265</v>
      </c>
      <c r="I37" s="162" t="n">
        <v>274</v>
      </c>
      <c r="J37" s="162" t="n">
        <v>283</v>
      </c>
      <c r="K37" s="162" t="n">
        <v>292</v>
      </c>
      <c r="L37" s="162" t="n">
        <v>301</v>
      </c>
      <c r="M37" s="163" t="n">
        <v>310</v>
      </c>
      <c r="N37" s="153" t="inlineStr">
        <is>
          <t>+9</t>
        </is>
      </c>
    </row>
    <row r="38" ht="16" customHeight="1">
      <c r="B38" s="177" t="inlineStr">
        <is>
          <t>유일</t>
        </is>
      </c>
      <c r="C38" s="162" t="n">
        <v>230</v>
      </c>
      <c r="D38" s="162" t="n">
        <v>239</v>
      </c>
      <c r="E38" s="162" t="n">
        <v>248</v>
      </c>
      <c r="F38" s="162" t="n">
        <v>257</v>
      </c>
      <c r="G38" s="162" t="n">
        <v>266</v>
      </c>
      <c r="H38" s="162" t="n">
        <v>275</v>
      </c>
      <c r="I38" s="162" t="n">
        <v>284</v>
      </c>
      <c r="J38" s="162" t="n">
        <v>293</v>
      </c>
      <c r="K38" s="162" t="n">
        <v>302</v>
      </c>
      <c r="L38" s="162" t="n">
        <v>311</v>
      </c>
      <c r="M38" s="163" t="n">
        <v>320</v>
      </c>
      <c r="N38" s="153" t="inlineStr">
        <is>
          <t>+9</t>
        </is>
      </c>
    </row>
    <row r="39" ht="16" customHeight="1">
      <c r="B39" s="178" t="inlineStr">
        <is>
          <t>★유물</t>
        </is>
      </c>
      <c r="C39" s="166" t="n">
        <v>235</v>
      </c>
      <c r="D39" s="166" t="n">
        <v>244</v>
      </c>
      <c r="E39" s="166" t="n">
        <v>253</v>
      </c>
      <c r="F39" s="166" t="n">
        <v>262</v>
      </c>
      <c r="G39" s="166" t="n">
        <v>271</v>
      </c>
      <c r="H39" s="166" t="n">
        <v>280</v>
      </c>
      <c r="I39" s="166" t="n">
        <v>289</v>
      </c>
      <c r="J39" s="166" t="n">
        <v>298</v>
      </c>
      <c r="K39" s="166" t="n">
        <v>307</v>
      </c>
      <c r="L39" s="166" t="n">
        <v>316</v>
      </c>
      <c r="M39" s="167" t="n">
        <v>325</v>
      </c>
      <c r="N39" s="153" t="inlineStr">
        <is>
          <t>+9</t>
        </is>
      </c>
    </row>
    <row r="40" ht="8" customHeight="1">
      <c r="A40" s="2" t="n"/>
    </row>
    <row r="41" ht="16" customHeight="1">
      <c r="A41" s="179" t="inlineStr">
        <is>
          <t>T7</t>
        </is>
      </c>
      <c r="B41" s="155" t="inlineStr">
        <is>
          <t>일반</t>
        </is>
      </c>
      <c r="C41" s="156" t="n">
        <v>240</v>
      </c>
      <c r="D41" s="156" t="n">
        <v>250</v>
      </c>
      <c r="E41" s="156" t="n">
        <v>260</v>
      </c>
      <c r="F41" s="156" t="n">
        <v>270</v>
      </c>
      <c r="G41" s="156" t="n">
        <v>280</v>
      </c>
      <c r="H41" s="156" t="n">
        <v>290</v>
      </c>
      <c r="I41" s="156" t="n">
        <v>300</v>
      </c>
      <c r="J41" s="156" t="n">
        <v>310</v>
      </c>
      <c r="K41" s="156" t="n">
        <v>320</v>
      </c>
      <c r="L41" s="156" t="n">
        <v>330</v>
      </c>
      <c r="M41" s="157" t="n">
        <v>340</v>
      </c>
      <c r="N41" s="153" t="inlineStr">
        <is>
          <t>+10</t>
        </is>
      </c>
    </row>
    <row r="42" ht="16" customHeight="1">
      <c r="B42" s="164" t="inlineStr">
        <is>
          <t>고급</t>
        </is>
      </c>
      <c r="C42" s="156" t="n">
        <v>250</v>
      </c>
      <c r="D42" s="156" t="n">
        <v>260</v>
      </c>
      <c r="E42" s="156" t="n">
        <v>270</v>
      </c>
      <c r="F42" s="156" t="n">
        <v>280</v>
      </c>
      <c r="G42" s="156" t="n">
        <v>290</v>
      </c>
      <c r="H42" s="156" t="n">
        <v>300</v>
      </c>
      <c r="I42" s="156" t="n">
        <v>310</v>
      </c>
      <c r="J42" s="156" t="n">
        <v>320</v>
      </c>
      <c r="K42" s="156" t="n">
        <v>330</v>
      </c>
      <c r="L42" s="156" t="n">
        <v>340</v>
      </c>
      <c r="M42" s="157" t="n">
        <v>350</v>
      </c>
      <c r="N42" s="153" t="inlineStr">
        <is>
          <t>+10</t>
        </is>
      </c>
    </row>
    <row r="43" ht="16" customHeight="1">
      <c r="B43" s="169" t="inlineStr">
        <is>
          <t>희귀</t>
        </is>
      </c>
      <c r="C43" s="156" t="n">
        <v>260</v>
      </c>
      <c r="D43" s="156" t="n">
        <v>270</v>
      </c>
      <c r="E43" s="156" t="n">
        <v>280</v>
      </c>
      <c r="F43" s="156" t="n">
        <v>290</v>
      </c>
      <c r="G43" s="156" t="n">
        <v>300</v>
      </c>
      <c r="H43" s="156" t="n">
        <v>310</v>
      </c>
      <c r="I43" s="156" t="n">
        <v>320</v>
      </c>
      <c r="J43" s="156" t="n">
        <v>330</v>
      </c>
      <c r="K43" s="156" t="n">
        <v>340</v>
      </c>
      <c r="L43" s="156" t="n">
        <v>350</v>
      </c>
      <c r="M43" s="157" t="n">
        <v>360</v>
      </c>
      <c r="N43" s="153" t="inlineStr">
        <is>
          <t>+10</t>
        </is>
      </c>
    </row>
    <row r="44" ht="16" customHeight="1">
      <c r="B44" s="171" t="inlineStr">
        <is>
          <t>고대</t>
        </is>
      </c>
      <c r="C44" s="156" t="n">
        <v>270</v>
      </c>
      <c r="D44" s="156" t="n">
        <v>280</v>
      </c>
      <c r="E44" s="156" t="n">
        <v>290</v>
      </c>
      <c r="F44" s="156" t="n">
        <v>300</v>
      </c>
      <c r="G44" s="156" t="n">
        <v>310</v>
      </c>
      <c r="H44" s="156" t="n">
        <v>320</v>
      </c>
      <c r="I44" s="156" t="n">
        <v>330</v>
      </c>
      <c r="J44" s="156" t="n">
        <v>340</v>
      </c>
      <c r="K44" s="156" t="n">
        <v>350</v>
      </c>
      <c r="L44" s="156" t="n">
        <v>360</v>
      </c>
      <c r="M44" s="157" t="n">
        <v>370</v>
      </c>
      <c r="N44" s="153" t="inlineStr">
        <is>
          <t>+10</t>
        </is>
      </c>
    </row>
    <row r="45" ht="16" customHeight="1">
      <c r="B45" s="174" t="inlineStr">
        <is>
          <t>영웅</t>
        </is>
      </c>
      <c r="C45" s="156" t="n">
        <v>280</v>
      </c>
      <c r="D45" s="156" t="n">
        <v>290</v>
      </c>
      <c r="E45" s="156" t="n">
        <v>300</v>
      </c>
      <c r="F45" s="156" t="n">
        <v>310</v>
      </c>
      <c r="G45" s="156" t="n">
        <v>320</v>
      </c>
      <c r="H45" s="156" t="n">
        <v>330</v>
      </c>
      <c r="I45" s="156" t="n">
        <v>340</v>
      </c>
      <c r="J45" s="156" t="n">
        <v>350</v>
      </c>
      <c r="K45" s="156" t="n">
        <v>360</v>
      </c>
      <c r="L45" s="156" t="n">
        <v>370</v>
      </c>
      <c r="M45" s="157" t="n">
        <v>380</v>
      </c>
      <c r="N45" s="153" t="inlineStr">
        <is>
          <t>+10</t>
        </is>
      </c>
    </row>
    <row r="46" ht="16" customHeight="1">
      <c r="B46" s="177" t="inlineStr">
        <is>
          <t>유일</t>
        </is>
      </c>
      <c r="C46" s="156" t="n">
        <v>290</v>
      </c>
      <c r="D46" s="156" t="n">
        <v>300</v>
      </c>
      <c r="E46" s="156" t="n">
        <v>310</v>
      </c>
      <c r="F46" s="156" t="n">
        <v>320</v>
      </c>
      <c r="G46" s="156" t="n">
        <v>330</v>
      </c>
      <c r="H46" s="156" t="n">
        <v>340</v>
      </c>
      <c r="I46" s="156" t="n">
        <v>350</v>
      </c>
      <c r="J46" s="156" t="n">
        <v>360</v>
      </c>
      <c r="K46" s="156" t="n">
        <v>370</v>
      </c>
      <c r="L46" s="156" t="n">
        <v>380</v>
      </c>
      <c r="M46" s="157" t="n">
        <v>390</v>
      </c>
      <c r="N46" s="153" t="inlineStr">
        <is>
          <t>+10</t>
        </is>
      </c>
    </row>
    <row r="47" ht="16" customHeight="1">
      <c r="B47" s="178" t="inlineStr">
        <is>
          <t>★유물</t>
        </is>
      </c>
      <c r="C47" s="159" t="n">
        <v>295</v>
      </c>
      <c r="D47" s="159" t="n">
        <v>305</v>
      </c>
      <c r="E47" s="159" t="n">
        <v>315</v>
      </c>
      <c r="F47" s="159" t="n">
        <v>325</v>
      </c>
      <c r="G47" s="159" t="n">
        <v>335</v>
      </c>
      <c r="H47" s="159" t="n">
        <v>345</v>
      </c>
      <c r="I47" s="159" t="n">
        <v>355</v>
      </c>
      <c r="J47" s="159" t="n">
        <v>365</v>
      </c>
      <c r="K47" s="159" t="n">
        <v>375</v>
      </c>
      <c r="L47" s="159" t="n">
        <v>385</v>
      </c>
      <c r="M47" s="160" t="n">
        <v>395</v>
      </c>
      <c r="N47" s="153" t="inlineStr">
        <is>
          <t>+10</t>
        </is>
      </c>
    </row>
    <row r="48" ht="8" customHeight="1">
      <c r="A48" s="2" t="n"/>
    </row>
    <row r="49" ht="22" customHeight="1">
      <c r="A49" s="3" t="inlineStr">
        <is>
          <t>▶  티어 간 격차 요약  (★최고등급 +10강 기준)</t>
        </is>
      </c>
    </row>
    <row r="50" ht="18" customHeight="1">
      <c r="A50" s="150" t="inlineStr">
        <is>
          <t>티어</t>
        </is>
      </c>
      <c r="B50" s="150" t="inlineStr">
        <is>
          <t>최고등급</t>
        </is>
      </c>
      <c r="C50" s="150" t="inlineStr">
        <is>
          <t>최대 DEF</t>
        </is>
      </c>
      <c r="D50" s="150" t="inlineStr">
        <is>
          <t>전 티어 대비 +</t>
        </is>
      </c>
      <c r="E50" s="150" t="inlineStr">
        <is>
          <t>배율</t>
        </is>
      </c>
      <c r="F50" s="150" t="inlineStr">
        <is>
          <t>비고</t>
        </is>
      </c>
    </row>
    <row r="51" ht="16" customHeight="1">
      <c r="A51" s="180" t="inlineStr">
        <is>
          <t>T1</t>
        </is>
      </c>
      <c r="B51" s="164" t="inlineStr">
        <is>
          <t>고급</t>
        </is>
      </c>
      <c r="C51" s="181" t="n">
        <v>80</v>
      </c>
      <c r="D51" s="182" t="inlineStr">
        <is>
          <t>—</t>
        </is>
      </c>
      <c r="E51" s="182" t="inlineStr">
        <is>
          <t>기준</t>
        </is>
      </c>
      <c r="F51" s="183" t="inlineStr">
        <is>
          <t>최고등급: 고급</t>
        </is>
      </c>
    </row>
    <row r="52" ht="16" customHeight="1">
      <c r="A52" s="184" t="inlineStr">
        <is>
          <t>T2</t>
        </is>
      </c>
      <c r="B52" s="169" t="inlineStr">
        <is>
          <t>희귀</t>
        </is>
      </c>
      <c r="C52" s="185" t="n">
        <v>110</v>
      </c>
      <c r="D52" s="166" t="n">
        <v>30</v>
      </c>
      <c r="E52" s="186" t="inlineStr">
        <is>
          <t>×1.38</t>
        </is>
      </c>
      <c r="F52" s="187" t="inlineStr">
        <is>
          <t>최고등급: 희귀</t>
        </is>
      </c>
    </row>
    <row r="53" ht="16" customHeight="1">
      <c r="A53" s="188" t="inlineStr">
        <is>
          <t>T3</t>
        </is>
      </c>
      <c r="B53" s="171" t="inlineStr">
        <is>
          <t>고대</t>
        </is>
      </c>
      <c r="C53" s="181" t="n">
        <v>150</v>
      </c>
      <c r="D53" s="159" t="n">
        <v>40</v>
      </c>
      <c r="E53" s="189" t="inlineStr">
        <is>
          <t>×1.36</t>
        </is>
      </c>
      <c r="F53" s="183" t="inlineStr">
        <is>
          <t>최고등급: 고대</t>
        </is>
      </c>
    </row>
    <row r="54" ht="16" customHeight="1">
      <c r="A54" s="190" t="inlineStr">
        <is>
          <t>T4</t>
        </is>
      </c>
      <c r="B54" s="174" t="inlineStr">
        <is>
          <t>영웅</t>
        </is>
      </c>
      <c r="C54" s="185" t="n">
        <v>200</v>
      </c>
      <c r="D54" s="166" t="n">
        <v>50</v>
      </c>
      <c r="E54" s="186" t="inlineStr">
        <is>
          <t>×1.33</t>
        </is>
      </c>
      <c r="F54" s="187" t="inlineStr">
        <is>
          <t>최고등급: 영웅</t>
        </is>
      </c>
    </row>
    <row r="55" ht="16" customHeight="1">
      <c r="A55" s="191" t="inlineStr">
        <is>
          <t>T5</t>
        </is>
      </c>
      <c r="B55" s="177" t="inlineStr">
        <is>
          <t>유일</t>
        </is>
      </c>
      <c r="C55" s="181" t="n">
        <v>260</v>
      </c>
      <c r="D55" s="159" t="n">
        <v>60</v>
      </c>
      <c r="E55" s="189" t="inlineStr">
        <is>
          <t>×1.30</t>
        </is>
      </c>
      <c r="F55" s="183" t="inlineStr">
        <is>
          <t>최고등급: 유일</t>
        </is>
      </c>
    </row>
    <row r="56" ht="16" customHeight="1">
      <c r="A56" s="192" t="inlineStr">
        <is>
          <t>T6</t>
        </is>
      </c>
      <c r="B56" s="193" t="inlineStr">
        <is>
          <t>유물</t>
        </is>
      </c>
      <c r="C56" s="185" t="n">
        <v>325</v>
      </c>
      <c r="D56" s="166" t="n">
        <v>65</v>
      </c>
      <c r="E56" s="186" t="inlineStr">
        <is>
          <t>×1.25</t>
        </is>
      </c>
      <c r="F56" s="187" t="inlineStr">
        <is>
          <t>최고등급: 유물</t>
        </is>
      </c>
    </row>
    <row r="57" ht="16" customHeight="1">
      <c r="A57" s="194" t="inlineStr">
        <is>
          <t>T7</t>
        </is>
      </c>
      <c r="B57" s="193" t="inlineStr">
        <is>
          <t>유물</t>
        </is>
      </c>
      <c r="C57" s="181" t="n">
        <v>395</v>
      </c>
      <c r="D57" s="159" t="n">
        <v>70</v>
      </c>
      <c r="E57" s="189" t="inlineStr">
        <is>
          <t>×1.22</t>
        </is>
      </c>
      <c r="F57" s="183" t="inlineStr">
        <is>
          <t>최고등급: 유물</t>
        </is>
      </c>
    </row>
  </sheetData>
  <mergeCells count="19">
    <mergeCell ref="A40:N40"/>
    <mergeCell ref="A48:N48"/>
    <mergeCell ref="A20:A24"/>
    <mergeCell ref="A49:N49"/>
    <mergeCell ref="A1:N1"/>
    <mergeCell ref="A6:N6"/>
    <mergeCell ref="A33:A39"/>
    <mergeCell ref="A25:N25"/>
    <mergeCell ref="A8:A9"/>
    <mergeCell ref="A3:N3"/>
    <mergeCell ref="A26:A31"/>
    <mergeCell ref="A11:A13"/>
    <mergeCell ref="A5:N5"/>
    <mergeCell ref="A32:N32"/>
    <mergeCell ref="A14:N14"/>
    <mergeCell ref="A19:N19"/>
    <mergeCell ref="A15:A18"/>
    <mergeCell ref="A10:N10"/>
    <mergeCell ref="A41:A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showGridLines="0" workbookViewId="0">
      <selection activeCell="A1" sqref="A1"/>
    </sheetView>
  </sheetViews>
  <sheetFormatPr baseColWidth="8" defaultRowHeight="15"/>
  <cols>
    <col width="51" customWidth="1" min="1" max="1"/>
    <col width="5.6" customWidth="1" min="2" max="2"/>
    <col width="9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9" customWidth="1" min="15" max="15"/>
    <col width="8" customWidth="1" min="16" max="16"/>
  </cols>
  <sheetData>
    <row r="1" ht="32" customHeight="1">
      <c r="A1" s="116" t="inlineStr">
        <is>
          <t>💍  악세사리 — 능력치 수치표</t>
        </is>
      </c>
      <c r="B1" s="76" t="n"/>
      <c r="C1" s="76" t="n"/>
      <c r="D1" s="76" t="n"/>
      <c r="E1" s="76" t="n"/>
      <c r="F1" s="76" t="n"/>
      <c r="G1" s="76" t="n"/>
      <c r="H1" s="76" t="n"/>
      <c r="I1" s="76" t="n"/>
      <c r="J1" s="76" t="n"/>
      <c r="K1" s="76" t="n"/>
      <c r="L1" s="76" t="n"/>
      <c r="M1" s="76" t="n"/>
      <c r="N1" s="76" t="n"/>
      <c r="O1" s="76" t="n"/>
      <c r="P1" s="76" t="n"/>
    </row>
    <row r="3" ht="8" customHeight="1">
      <c r="A3" s="2" t="n"/>
    </row>
    <row r="4" ht="22" customHeight="1">
      <c r="A4" s="115" t="inlineStr">
        <is>
          <t>💍 반지  —  ×2 장착 (ATK 합산) · T1·T2 장착 불가</t>
        </is>
      </c>
      <c r="B4" s="77" t="n"/>
      <c r="C4" s="77" t="n"/>
      <c r="D4" s="77" t="n"/>
      <c r="E4" s="77" t="n"/>
      <c r="F4" s="77" t="n"/>
      <c r="G4" s="77" t="n"/>
      <c r="H4" s="77" t="n"/>
      <c r="I4" s="77" t="n"/>
      <c r="J4" s="77" t="n"/>
      <c r="K4" s="77" t="n"/>
      <c r="L4" s="77" t="n"/>
      <c r="M4" s="77" t="n"/>
      <c r="N4" s="77" t="n"/>
      <c r="O4" s="77" t="n"/>
      <c r="P4" s="77" t="n"/>
    </row>
    <row r="5" ht="18" customHeight="1">
      <c r="A5" s="19" t="inlineStr">
        <is>
          <t>슬롯</t>
        </is>
      </c>
      <c r="B5" s="19" t="inlineStr">
        <is>
          <t>티어</t>
        </is>
      </c>
      <c r="C5" s="20" t="inlineStr">
        <is>
          <t>최고등급</t>
        </is>
      </c>
      <c r="D5" s="28" t="inlineStr">
        <is>
          <t>+0강</t>
        </is>
      </c>
      <c r="E5" s="28" t="inlineStr">
        <is>
          <t>+1강</t>
        </is>
      </c>
      <c r="F5" s="28" t="inlineStr">
        <is>
          <t>+2강</t>
        </is>
      </c>
      <c r="G5" s="28" t="inlineStr">
        <is>
          <t>+3강</t>
        </is>
      </c>
      <c r="H5" s="28" t="inlineStr">
        <is>
          <t>+4강</t>
        </is>
      </c>
      <c r="I5" s="28" t="inlineStr">
        <is>
          <t>+5강</t>
        </is>
      </c>
      <c r="J5" s="28" t="inlineStr">
        <is>
          <t>+6강</t>
        </is>
      </c>
      <c r="K5" s="28" t="inlineStr">
        <is>
          <t>+7강</t>
        </is>
      </c>
      <c r="L5" s="28" t="inlineStr">
        <is>
          <t>+8강</t>
        </is>
      </c>
      <c r="M5" s="28" t="inlineStr">
        <is>
          <t>+9강</t>
        </is>
      </c>
      <c r="N5" s="29" t="inlineStr">
        <is>
          <t>+10강</t>
        </is>
      </c>
      <c r="O5" s="19" t="inlineStr">
        <is>
          <t>최대ATK</t>
        </is>
      </c>
      <c r="P5" s="30" t="inlineStr">
        <is>
          <t>+/단계</t>
        </is>
      </c>
    </row>
    <row r="6" ht="16" customHeight="1">
      <c r="A6" s="27" t="inlineStr">
        <is>
          <t>💍 반지</t>
        </is>
      </c>
      <c r="B6" s="22" t="inlineStr">
        <is>
          <t>T1</t>
        </is>
      </c>
      <c r="C6" s="65" t="inlineStr">
        <is>
          <t>없음</t>
        </is>
      </c>
      <c r="D6" s="65" t="inlineStr">
        <is>
          <t>N/A</t>
        </is>
      </c>
      <c r="E6" s="65" t="inlineStr">
        <is>
          <t>N/A</t>
        </is>
      </c>
      <c r="F6" s="65" t="inlineStr">
        <is>
          <t>N/A</t>
        </is>
      </c>
      <c r="G6" s="65" t="inlineStr">
        <is>
          <t>N/A</t>
        </is>
      </c>
      <c r="H6" s="65" t="inlineStr">
        <is>
          <t>N/A</t>
        </is>
      </c>
      <c r="I6" s="65" t="inlineStr">
        <is>
          <t>N/A</t>
        </is>
      </c>
      <c r="J6" s="65" t="inlineStr">
        <is>
          <t>N/A</t>
        </is>
      </c>
      <c r="K6" s="65" t="inlineStr">
        <is>
          <t>N/A</t>
        </is>
      </c>
      <c r="L6" s="65" t="inlineStr">
        <is>
          <t>N/A</t>
        </is>
      </c>
      <c r="M6" s="65" t="inlineStr">
        <is>
          <t>N/A</t>
        </is>
      </c>
      <c r="N6" s="65" t="inlineStr">
        <is>
          <t>N/A</t>
        </is>
      </c>
      <c r="O6" s="66" t="inlineStr">
        <is>
          <t>—</t>
        </is>
      </c>
      <c r="P6" s="65" t="inlineStr">
        <is>
          <t>—</t>
        </is>
      </c>
    </row>
    <row r="7" ht="16" customHeight="1">
      <c r="A7" s="80" t="n"/>
      <c r="B7" s="53" t="inlineStr">
        <is>
          <t>T2</t>
        </is>
      </c>
      <c r="C7" s="65" t="inlineStr">
        <is>
          <t>없음</t>
        </is>
      </c>
      <c r="D7" s="65" t="inlineStr">
        <is>
          <t>N/A</t>
        </is>
      </c>
      <c r="E7" s="65" t="inlineStr">
        <is>
          <t>N/A</t>
        </is>
      </c>
      <c r="F7" s="65" t="inlineStr">
        <is>
          <t>N/A</t>
        </is>
      </c>
      <c r="G7" s="65" t="inlineStr">
        <is>
          <t>N/A</t>
        </is>
      </c>
      <c r="H7" s="65" t="inlineStr">
        <is>
          <t>N/A</t>
        </is>
      </c>
      <c r="I7" s="65" t="inlineStr">
        <is>
          <t>N/A</t>
        </is>
      </c>
      <c r="J7" s="65" t="inlineStr">
        <is>
          <t>N/A</t>
        </is>
      </c>
      <c r="K7" s="65" t="inlineStr">
        <is>
          <t>N/A</t>
        </is>
      </c>
      <c r="L7" s="65" t="inlineStr">
        <is>
          <t>N/A</t>
        </is>
      </c>
      <c r="M7" s="65" t="inlineStr">
        <is>
          <t>N/A</t>
        </is>
      </c>
      <c r="N7" s="65" t="inlineStr">
        <is>
          <t>N/A</t>
        </is>
      </c>
      <c r="O7" s="66" t="inlineStr">
        <is>
          <t>—</t>
        </is>
      </c>
      <c r="P7" s="65" t="inlineStr">
        <is>
          <t>—</t>
        </is>
      </c>
    </row>
    <row r="8" ht="16" customHeight="1">
      <c r="A8" s="80" t="n"/>
      <c r="B8" s="58" t="inlineStr">
        <is>
          <t>T3</t>
        </is>
      </c>
      <c r="C8" s="43" t="inlineStr">
        <is>
          <t>고대</t>
        </is>
      </c>
      <c r="D8" s="35" t="n">
        <v>45</v>
      </c>
      <c r="E8" s="35" t="n">
        <v>51</v>
      </c>
      <c r="F8" s="35" t="n">
        <v>57</v>
      </c>
      <c r="G8" s="35" t="n">
        <v>63</v>
      </c>
      <c r="H8" s="35" t="n">
        <v>69</v>
      </c>
      <c r="I8" s="35" t="n">
        <v>75</v>
      </c>
      <c r="J8" s="35" t="n">
        <v>81</v>
      </c>
      <c r="K8" s="35" t="n">
        <v>87</v>
      </c>
      <c r="L8" s="35" t="n">
        <v>93</v>
      </c>
      <c r="M8" s="35" t="n">
        <v>99</v>
      </c>
      <c r="N8" s="36" t="n">
        <v>105</v>
      </c>
      <c r="O8" s="36" t="n">
        <v>105</v>
      </c>
      <c r="P8" s="30" t="inlineStr">
        <is>
          <t>+6</t>
        </is>
      </c>
    </row>
    <row r="9" ht="16" customHeight="1">
      <c r="A9" s="80" t="n"/>
      <c r="B9" s="27" t="inlineStr">
        <is>
          <t>T4</t>
        </is>
      </c>
      <c r="C9" s="44" t="inlineStr">
        <is>
          <t>영웅</t>
        </is>
      </c>
      <c r="D9" s="40" t="n">
        <v>65</v>
      </c>
      <c r="E9" s="40" t="n">
        <v>72</v>
      </c>
      <c r="F9" s="40" t="n">
        <v>79</v>
      </c>
      <c r="G9" s="40" t="n">
        <v>86</v>
      </c>
      <c r="H9" s="40" t="n">
        <v>93</v>
      </c>
      <c r="I9" s="40" t="n">
        <v>100</v>
      </c>
      <c r="J9" s="40" t="n">
        <v>107</v>
      </c>
      <c r="K9" s="40" t="n">
        <v>114</v>
      </c>
      <c r="L9" s="40" t="n">
        <v>121</v>
      </c>
      <c r="M9" s="40" t="n">
        <v>128</v>
      </c>
      <c r="N9" s="41" t="n">
        <v>135</v>
      </c>
      <c r="O9" s="41" t="n">
        <v>135</v>
      </c>
      <c r="P9" s="30" t="inlineStr">
        <is>
          <t>+7</t>
        </is>
      </c>
    </row>
    <row r="10" ht="16" customHeight="1">
      <c r="A10" s="80" t="n"/>
      <c r="B10" s="61" t="inlineStr">
        <is>
          <t>T5</t>
        </is>
      </c>
      <c r="C10" s="46" t="inlineStr">
        <is>
          <t>유일</t>
        </is>
      </c>
      <c r="D10" s="35" t="n">
        <v>90</v>
      </c>
      <c r="E10" s="35" t="n">
        <v>98</v>
      </c>
      <c r="F10" s="35" t="n">
        <v>106</v>
      </c>
      <c r="G10" s="35" t="n">
        <v>114</v>
      </c>
      <c r="H10" s="35" t="n">
        <v>122</v>
      </c>
      <c r="I10" s="35" t="n">
        <v>130</v>
      </c>
      <c r="J10" s="35" t="n">
        <v>138</v>
      </c>
      <c r="K10" s="35" t="n">
        <v>146</v>
      </c>
      <c r="L10" s="35" t="n">
        <v>154</v>
      </c>
      <c r="M10" s="35" t="n">
        <v>162</v>
      </c>
      <c r="N10" s="36" t="n">
        <v>170</v>
      </c>
      <c r="O10" s="36" t="n">
        <v>170</v>
      </c>
      <c r="P10" s="30" t="inlineStr">
        <is>
          <t>+8</t>
        </is>
      </c>
    </row>
    <row r="11" ht="16" customHeight="1">
      <c r="A11" s="80" t="n"/>
      <c r="B11" s="62" t="inlineStr">
        <is>
          <t>T6</t>
        </is>
      </c>
      <c r="C11" s="48" t="inlineStr">
        <is>
          <t>유물</t>
        </is>
      </c>
      <c r="D11" s="40" t="n">
        <v>120</v>
      </c>
      <c r="E11" s="40" t="n">
        <v>129</v>
      </c>
      <c r="F11" s="40" t="n">
        <v>138</v>
      </c>
      <c r="G11" s="40" t="n">
        <v>147</v>
      </c>
      <c r="H11" s="40" t="n">
        <v>156</v>
      </c>
      <c r="I11" s="40" t="n">
        <v>165</v>
      </c>
      <c r="J11" s="40" t="n">
        <v>174</v>
      </c>
      <c r="K11" s="40" t="n">
        <v>183</v>
      </c>
      <c r="L11" s="40" t="n">
        <v>192</v>
      </c>
      <c r="M11" s="40" t="n">
        <v>201</v>
      </c>
      <c r="N11" s="41" t="n">
        <v>210</v>
      </c>
      <c r="O11" s="41" t="n">
        <v>210</v>
      </c>
      <c r="P11" s="30" t="inlineStr">
        <is>
          <t>+9</t>
        </is>
      </c>
    </row>
    <row r="12" ht="16" customHeight="1">
      <c r="A12" s="81" t="n"/>
      <c r="B12" s="63" t="inlineStr">
        <is>
          <t>T7</t>
        </is>
      </c>
      <c r="C12" s="48" t="inlineStr">
        <is>
          <t>유물</t>
        </is>
      </c>
      <c r="D12" s="35" t="n">
        <v>150</v>
      </c>
      <c r="E12" s="35" t="n">
        <v>160</v>
      </c>
      <c r="F12" s="35" t="n">
        <v>170</v>
      </c>
      <c r="G12" s="35" t="n">
        <v>180</v>
      </c>
      <c r="H12" s="35" t="n">
        <v>190</v>
      </c>
      <c r="I12" s="35" t="n">
        <v>200</v>
      </c>
      <c r="J12" s="35" t="n">
        <v>210</v>
      </c>
      <c r="K12" s="35" t="n">
        <v>220</v>
      </c>
      <c r="L12" s="35" t="n">
        <v>230</v>
      </c>
      <c r="M12" s="35" t="n">
        <v>240</v>
      </c>
      <c r="N12" s="36" t="n">
        <v>250</v>
      </c>
      <c r="O12" s="36" t="n">
        <v>250</v>
      </c>
      <c r="P12" s="30" t="inlineStr">
        <is>
          <t>+10</t>
        </is>
      </c>
    </row>
    <row r="13" ht="8" customHeight="1">
      <c r="A13" s="2" t="n"/>
    </row>
    <row r="14" ht="22" customHeight="1">
      <c r="A14" s="115" t="inlineStr">
        <is>
          <t>📿 목걸이  —  DEF 제공 · T1·T2 장착 불가</t>
        </is>
      </c>
      <c r="B14" s="77" t="n"/>
      <c r="C14" s="77" t="n"/>
      <c r="D14" s="77" t="n"/>
      <c r="E14" s="77" t="n"/>
      <c r="F14" s="77" t="n"/>
      <c r="G14" s="77" t="n"/>
      <c r="H14" s="77" t="n"/>
      <c r="I14" s="77" t="n"/>
      <c r="J14" s="77" t="n"/>
      <c r="K14" s="77" t="n"/>
      <c r="L14" s="77" t="n"/>
      <c r="M14" s="77" t="n"/>
      <c r="N14" s="77" t="n"/>
      <c r="O14" s="77" t="n"/>
      <c r="P14" s="77" t="n"/>
    </row>
    <row r="15" ht="18" customHeight="1">
      <c r="A15" s="19" t="inlineStr">
        <is>
          <t>슬롯</t>
        </is>
      </c>
      <c r="B15" s="19" t="inlineStr">
        <is>
          <t>티어</t>
        </is>
      </c>
      <c r="C15" s="20" t="inlineStr">
        <is>
          <t>최고등급</t>
        </is>
      </c>
      <c r="D15" s="28" t="inlineStr">
        <is>
          <t>+0강</t>
        </is>
      </c>
      <c r="E15" s="28" t="inlineStr">
        <is>
          <t>+1강</t>
        </is>
      </c>
      <c r="F15" s="28" t="inlineStr">
        <is>
          <t>+2강</t>
        </is>
      </c>
      <c r="G15" s="28" t="inlineStr">
        <is>
          <t>+3강</t>
        </is>
      </c>
      <c r="H15" s="28" t="inlineStr">
        <is>
          <t>+4강</t>
        </is>
      </c>
      <c r="I15" s="28" t="inlineStr">
        <is>
          <t>+5강</t>
        </is>
      </c>
      <c r="J15" s="28" t="inlineStr">
        <is>
          <t>+6강</t>
        </is>
      </c>
      <c r="K15" s="28" t="inlineStr">
        <is>
          <t>+7강</t>
        </is>
      </c>
      <c r="L15" s="28" t="inlineStr">
        <is>
          <t>+8강</t>
        </is>
      </c>
      <c r="M15" s="28" t="inlineStr">
        <is>
          <t>+9강</t>
        </is>
      </c>
      <c r="N15" s="29" t="inlineStr">
        <is>
          <t>+10강</t>
        </is>
      </c>
      <c r="O15" s="19" t="inlineStr">
        <is>
          <t>최대DEF</t>
        </is>
      </c>
      <c r="P15" s="30" t="inlineStr">
        <is>
          <t>+/단계</t>
        </is>
      </c>
    </row>
    <row r="16" ht="16" customHeight="1">
      <c r="A16" s="27" t="inlineStr">
        <is>
          <t>📿 목걸이</t>
        </is>
      </c>
      <c r="B16" s="22" t="inlineStr">
        <is>
          <t>T1</t>
        </is>
      </c>
      <c r="C16" s="65" t="inlineStr">
        <is>
          <t>없음</t>
        </is>
      </c>
      <c r="D16" s="65" t="inlineStr">
        <is>
          <t>N/A</t>
        </is>
      </c>
      <c r="E16" s="65" t="inlineStr">
        <is>
          <t>N/A</t>
        </is>
      </c>
      <c r="F16" s="65" t="inlineStr">
        <is>
          <t>N/A</t>
        </is>
      </c>
      <c r="G16" s="65" t="inlineStr">
        <is>
          <t>N/A</t>
        </is>
      </c>
      <c r="H16" s="65" t="inlineStr">
        <is>
          <t>N/A</t>
        </is>
      </c>
      <c r="I16" s="65" t="inlineStr">
        <is>
          <t>N/A</t>
        </is>
      </c>
      <c r="J16" s="65" t="inlineStr">
        <is>
          <t>N/A</t>
        </is>
      </c>
      <c r="K16" s="65" t="inlineStr">
        <is>
          <t>N/A</t>
        </is>
      </c>
      <c r="L16" s="65" t="inlineStr">
        <is>
          <t>N/A</t>
        </is>
      </c>
      <c r="M16" s="65" t="inlineStr">
        <is>
          <t>N/A</t>
        </is>
      </c>
      <c r="N16" s="65" t="inlineStr">
        <is>
          <t>N/A</t>
        </is>
      </c>
      <c r="O16" s="66" t="inlineStr">
        <is>
          <t>—</t>
        </is>
      </c>
      <c r="P16" s="65" t="inlineStr">
        <is>
          <t>—</t>
        </is>
      </c>
    </row>
    <row r="17" ht="16" customHeight="1">
      <c r="A17" s="80" t="n"/>
      <c r="B17" s="53" t="inlineStr">
        <is>
          <t>T2</t>
        </is>
      </c>
      <c r="C17" s="65" t="inlineStr">
        <is>
          <t>없음</t>
        </is>
      </c>
      <c r="D17" s="65" t="inlineStr">
        <is>
          <t>N/A</t>
        </is>
      </c>
      <c r="E17" s="65" t="inlineStr">
        <is>
          <t>N/A</t>
        </is>
      </c>
      <c r="F17" s="65" t="inlineStr">
        <is>
          <t>N/A</t>
        </is>
      </c>
      <c r="G17" s="65" t="inlineStr">
        <is>
          <t>N/A</t>
        </is>
      </c>
      <c r="H17" s="65" t="inlineStr">
        <is>
          <t>N/A</t>
        </is>
      </c>
      <c r="I17" s="65" t="inlineStr">
        <is>
          <t>N/A</t>
        </is>
      </c>
      <c r="J17" s="65" t="inlineStr">
        <is>
          <t>N/A</t>
        </is>
      </c>
      <c r="K17" s="65" t="inlineStr">
        <is>
          <t>N/A</t>
        </is>
      </c>
      <c r="L17" s="65" t="inlineStr">
        <is>
          <t>N/A</t>
        </is>
      </c>
      <c r="M17" s="65" t="inlineStr">
        <is>
          <t>N/A</t>
        </is>
      </c>
      <c r="N17" s="65" t="inlineStr">
        <is>
          <t>N/A</t>
        </is>
      </c>
      <c r="O17" s="66" t="inlineStr">
        <is>
          <t>—</t>
        </is>
      </c>
      <c r="P17" s="65" t="inlineStr">
        <is>
          <t>—</t>
        </is>
      </c>
    </row>
    <row r="18" ht="16" customHeight="1">
      <c r="A18" s="80" t="n"/>
      <c r="B18" s="58" t="inlineStr">
        <is>
          <t>T3</t>
        </is>
      </c>
      <c r="C18" s="43" t="inlineStr">
        <is>
          <t>고대</t>
        </is>
      </c>
      <c r="D18" s="35" t="n">
        <v>90</v>
      </c>
      <c r="E18" s="35" t="n">
        <v>96</v>
      </c>
      <c r="F18" s="35" t="n">
        <v>102</v>
      </c>
      <c r="G18" s="35" t="n">
        <v>108</v>
      </c>
      <c r="H18" s="35" t="n">
        <v>114</v>
      </c>
      <c r="I18" s="35" t="n">
        <v>120</v>
      </c>
      <c r="J18" s="35" t="n">
        <v>126</v>
      </c>
      <c r="K18" s="35" t="n">
        <v>132</v>
      </c>
      <c r="L18" s="35" t="n">
        <v>138</v>
      </c>
      <c r="M18" s="35" t="n">
        <v>144</v>
      </c>
      <c r="N18" s="36" t="n">
        <v>150</v>
      </c>
      <c r="O18" s="36" t="n">
        <v>150</v>
      </c>
      <c r="P18" s="30" t="inlineStr">
        <is>
          <t>+6</t>
        </is>
      </c>
    </row>
    <row r="19" ht="16" customHeight="1">
      <c r="A19" s="80" t="n"/>
      <c r="B19" s="27" t="inlineStr">
        <is>
          <t>T4</t>
        </is>
      </c>
      <c r="C19" s="44" t="inlineStr">
        <is>
          <t>영웅</t>
        </is>
      </c>
      <c r="D19" s="40" t="n">
        <v>130</v>
      </c>
      <c r="E19" s="40" t="n">
        <v>137</v>
      </c>
      <c r="F19" s="40" t="n">
        <v>144</v>
      </c>
      <c r="G19" s="40" t="n">
        <v>151</v>
      </c>
      <c r="H19" s="40" t="n">
        <v>158</v>
      </c>
      <c r="I19" s="40" t="n">
        <v>165</v>
      </c>
      <c r="J19" s="40" t="n">
        <v>172</v>
      </c>
      <c r="K19" s="40" t="n">
        <v>179</v>
      </c>
      <c r="L19" s="40" t="n">
        <v>186</v>
      </c>
      <c r="M19" s="40" t="n">
        <v>193</v>
      </c>
      <c r="N19" s="41" t="n">
        <v>200</v>
      </c>
      <c r="O19" s="41" t="n">
        <v>200</v>
      </c>
      <c r="P19" s="30" t="inlineStr">
        <is>
          <t>+7</t>
        </is>
      </c>
    </row>
    <row r="20" ht="16" customHeight="1">
      <c r="A20" s="80" t="n"/>
      <c r="B20" s="61" t="inlineStr">
        <is>
          <t>T5</t>
        </is>
      </c>
      <c r="C20" s="46" t="inlineStr">
        <is>
          <t>유일</t>
        </is>
      </c>
      <c r="D20" s="35" t="n">
        <v>180</v>
      </c>
      <c r="E20" s="35" t="n">
        <v>188</v>
      </c>
      <c r="F20" s="35" t="n">
        <v>196</v>
      </c>
      <c r="G20" s="35" t="n">
        <v>204</v>
      </c>
      <c r="H20" s="35" t="n">
        <v>212</v>
      </c>
      <c r="I20" s="35" t="n">
        <v>220</v>
      </c>
      <c r="J20" s="35" t="n">
        <v>228</v>
      </c>
      <c r="K20" s="35" t="n">
        <v>236</v>
      </c>
      <c r="L20" s="35" t="n">
        <v>244</v>
      </c>
      <c r="M20" s="35" t="n">
        <v>252</v>
      </c>
      <c r="N20" s="36" t="n">
        <v>260</v>
      </c>
      <c r="O20" s="36" t="n">
        <v>260</v>
      </c>
      <c r="P20" s="30" t="inlineStr">
        <is>
          <t>+8</t>
        </is>
      </c>
    </row>
    <row r="21" ht="16" customHeight="1">
      <c r="A21" s="80" t="n"/>
      <c r="B21" s="62" t="inlineStr">
        <is>
          <t>T6</t>
        </is>
      </c>
      <c r="C21" s="48" t="inlineStr">
        <is>
          <t>유물</t>
        </is>
      </c>
      <c r="D21" s="40" t="n">
        <v>240</v>
      </c>
      <c r="E21" s="40" t="n">
        <v>249</v>
      </c>
      <c r="F21" s="40" t="n">
        <v>258</v>
      </c>
      <c r="G21" s="40" t="n">
        <v>267</v>
      </c>
      <c r="H21" s="40" t="n">
        <v>276</v>
      </c>
      <c r="I21" s="40" t="n">
        <v>285</v>
      </c>
      <c r="J21" s="40" t="n">
        <v>294</v>
      </c>
      <c r="K21" s="40" t="n">
        <v>303</v>
      </c>
      <c r="L21" s="40" t="n">
        <v>312</v>
      </c>
      <c r="M21" s="40" t="n">
        <v>321</v>
      </c>
      <c r="N21" s="41" t="n">
        <v>330</v>
      </c>
      <c r="O21" s="41" t="n">
        <v>330</v>
      </c>
      <c r="P21" s="30" t="inlineStr">
        <is>
          <t>+9</t>
        </is>
      </c>
    </row>
    <row r="22" ht="16" customHeight="1">
      <c r="A22" s="81" t="n"/>
      <c r="B22" s="63" t="inlineStr">
        <is>
          <t>T7</t>
        </is>
      </c>
      <c r="C22" s="48" t="inlineStr">
        <is>
          <t>유물</t>
        </is>
      </c>
      <c r="D22" s="35" t="n">
        <v>300</v>
      </c>
      <c r="E22" s="35" t="n">
        <v>310</v>
      </c>
      <c r="F22" s="35" t="n">
        <v>320</v>
      </c>
      <c r="G22" s="35" t="n">
        <v>330</v>
      </c>
      <c r="H22" s="35" t="n">
        <v>340</v>
      </c>
      <c r="I22" s="35" t="n">
        <v>350</v>
      </c>
      <c r="J22" s="35" t="n">
        <v>360</v>
      </c>
      <c r="K22" s="35" t="n">
        <v>370</v>
      </c>
      <c r="L22" s="35" t="n">
        <v>380</v>
      </c>
      <c r="M22" s="35" t="n">
        <v>390</v>
      </c>
      <c r="N22" s="36" t="n">
        <v>400</v>
      </c>
      <c r="O22" s="36" t="n">
        <v>400</v>
      </c>
      <c r="P22" s="30" t="inlineStr">
        <is>
          <t>+10</t>
        </is>
      </c>
    </row>
    <row r="23" ht="8" customHeight="1">
      <c r="A23" s="2" t="n"/>
    </row>
    <row r="24" ht="22" customHeight="1">
      <c r="A24" s="115" t="inlineStr">
        <is>
          <t>👂 귀걸이  —  DEF 제공 · T1·T2 장착 불가</t>
        </is>
      </c>
      <c r="B24" s="77" t="n"/>
      <c r="C24" s="77" t="n"/>
      <c r="D24" s="77" t="n"/>
      <c r="E24" s="77" t="n"/>
      <c r="F24" s="77" t="n"/>
      <c r="G24" s="77" t="n"/>
      <c r="H24" s="77" t="n"/>
      <c r="I24" s="77" t="n"/>
      <c r="J24" s="77" t="n"/>
      <c r="K24" s="77" t="n"/>
      <c r="L24" s="77" t="n"/>
      <c r="M24" s="77" t="n"/>
      <c r="N24" s="77" t="n"/>
      <c r="O24" s="77" t="n"/>
      <c r="P24" s="77" t="n"/>
    </row>
    <row r="25" ht="18" customHeight="1">
      <c r="A25" s="19" t="inlineStr">
        <is>
          <t>슬롯</t>
        </is>
      </c>
      <c r="B25" s="19" t="inlineStr">
        <is>
          <t>티어</t>
        </is>
      </c>
      <c r="C25" s="20" t="inlineStr">
        <is>
          <t>최고등급</t>
        </is>
      </c>
      <c r="D25" s="28" t="inlineStr">
        <is>
          <t>+0강</t>
        </is>
      </c>
      <c r="E25" s="28" t="inlineStr">
        <is>
          <t>+1강</t>
        </is>
      </c>
      <c r="F25" s="28" t="inlineStr">
        <is>
          <t>+2강</t>
        </is>
      </c>
      <c r="G25" s="28" t="inlineStr">
        <is>
          <t>+3강</t>
        </is>
      </c>
      <c r="H25" s="28" t="inlineStr">
        <is>
          <t>+4강</t>
        </is>
      </c>
      <c r="I25" s="28" t="inlineStr">
        <is>
          <t>+5강</t>
        </is>
      </c>
      <c r="J25" s="28" t="inlineStr">
        <is>
          <t>+6강</t>
        </is>
      </c>
      <c r="K25" s="28" t="inlineStr">
        <is>
          <t>+7강</t>
        </is>
      </c>
      <c r="L25" s="28" t="inlineStr">
        <is>
          <t>+8강</t>
        </is>
      </c>
      <c r="M25" s="28" t="inlineStr">
        <is>
          <t>+9강</t>
        </is>
      </c>
      <c r="N25" s="29" t="inlineStr">
        <is>
          <t>+10강</t>
        </is>
      </c>
      <c r="O25" s="19" t="inlineStr">
        <is>
          <t>최대DEF</t>
        </is>
      </c>
      <c r="P25" s="30" t="inlineStr">
        <is>
          <t>+/단계</t>
        </is>
      </c>
    </row>
    <row r="26" ht="16" customHeight="1">
      <c r="A26" s="27" t="inlineStr">
        <is>
          <t>👂 귀걸이</t>
        </is>
      </c>
      <c r="B26" s="22" t="inlineStr">
        <is>
          <t>T1</t>
        </is>
      </c>
      <c r="C26" s="65" t="inlineStr">
        <is>
          <t>없음</t>
        </is>
      </c>
      <c r="D26" s="65" t="inlineStr">
        <is>
          <t>N/A</t>
        </is>
      </c>
      <c r="E26" s="65" t="inlineStr">
        <is>
          <t>N/A</t>
        </is>
      </c>
      <c r="F26" s="65" t="inlineStr">
        <is>
          <t>N/A</t>
        </is>
      </c>
      <c r="G26" s="65" t="inlineStr">
        <is>
          <t>N/A</t>
        </is>
      </c>
      <c r="H26" s="65" t="inlineStr">
        <is>
          <t>N/A</t>
        </is>
      </c>
      <c r="I26" s="65" t="inlineStr">
        <is>
          <t>N/A</t>
        </is>
      </c>
      <c r="J26" s="65" t="inlineStr">
        <is>
          <t>N/A</t>
        </is>
      </c>
      <c r="K26" s="65" t="inlineStr">
        <is>
          <t>N/A</t>
        </is>
      </c>
      <c r="L26" s="65" t="inlineStr">
        <is>
          <t>N/A</t>
        </is>
      </c>
      <c r="M26" s="65" t="inlineStr">
        <is>
          <t>N/A</t>
        </is>
      </c>
      <c r="N26" s="65" t="inlineStr">
        <is>
          <t>N/A</t>
        </is>
      </c>
      <c r="O26" s="66" t="inlineStr">
        <is>
          <t>—</t>
        </is>
      </c>
      <c r="P26" s="65" t="inlineStr">
        <is>
          <t>—</t>
        </is>
      </c>
    </row>
    <row r="27" ht="16" customHeight="1">
      <c r="A27" s="80" t="n"/>
      <c r="B27" s="53" t="inlineStr">
        <is>
          <t>T2</t>
        </is>
      </c>
      <c r="C27" s="65" t="inlineStr">
        <is>
          <t>없음</t>
        </is>
      </c>
      <c r="D27" s="65" t="inlineStr">
        <is>
          <t>N/A</t>
        </is>
      </c>
      <c r="E27" s="65" t="inlineStr">
        <is>
          <t>N/A</t>
        </is>
      </c>
      <c r="F27" s="65" t="inlineStr">
        <is>
          <t>N/A</t>
        </is>
      </c>
      <c r="G27" s="65" t="inlineStr">
        <is>
          <t>N/A</t>
        </is>
      </c>
      <c r="H27" s="65" t="inlineStr">
        <is>
          <t>N/A</t>
        </is>
      </c>
      <c r="I27" s="65" t="inlineStr">
        <is>
          <t>N/A</t>
        </is>
      </c>
      <c r="J27" s="65" t="inlineStr">
        <is>
          <t>N/A</t>
        </is>
      </c>
      <c r="K27" s="65" t="inlineStr">
        <is>
          <t>N/A</t>
        </is>
      </c>
      <c r="L27" s="65" t="inlineStr">
        <is>
          <t>N/A</t>
        </is>
      </c>
      <c r="M27" s="65" t="inlineStr">
        <is>
          <t>N/A</t>
        </is>
      </c>
      <c r="N27" s="65" t="inlineStr">
        <is>
          <t>N/A</t>
        </is>
      </c>
      <c r="O27" s="66" t="inlineStr">
        <is>
          <t>—</t>
        </is>
      </c>
      <c r="P27" s="65" t="inlineStr">
        <is>
          <t>—</t>
        </is>
      </c>
    </row>
    <row r="28" ht="16" customHeight="1">
      <c r="A28" s="80" t="n"/>
      <c r="B28" s="58" t="inlineStr">
        <is>
          <t>T3</t>
        </is>
      </c>
      <c r="C28" s="43" t="inlineStr">
        <is>
          <t>고대</t>
        </is>
      </c>
      <c r="D28" s="35" t="n">
        <v>90</v>
      </c>
      <c r="E28" s="35" t="n">
        <v>96</v>
      </c>
      <c r="F28" s="35" t="n">
        <v>102</v>
      </c>
      <c r="G28" s="35" t="n">
        <v>108</v>
      </c>
      <c r="H28" s="35" t="n">
        <v>114</v>
      </c>
      <c r="I28" s="35" t="n">
        <v>120</v>
      </c>
      <c r="J28" s="35" t="n">
        <v>126</v>
      </c>
      <c r="K28" s="35" t="n">
        <v>132</v>
      </c>
      <c r="L28" s="35" t="n">
        <v>138</v>
      </c>
      <c r="M28" s="35" t="n">
        <v>144</v>
      </c>
      <c r="N28" s="36" t="n">
        <v>150</v>
      </c>
      <c r="O28" s="36" t="n">
        <v>150</v>
      </c>
      <c r="P28" s="30" t="inlineStr">
        <is>
          <t>+6</t>
        </is>
      </c>
    </row>
    <row r="29" ht="16" customHeight="1">
      <c r="A29" s="80" t="n"/>
      <c r="B29" s="27" t="inlineStr">
        <is>
          <t>T4</t>
        </is>
      </c>
      <c r="C29" s="44" t="inlineStr">
        <is>
          <t>영웅</t>
        </is>
      </c>
      <c r="D29" s="40" t="n">
        <v>130</v>
      </c>
      <c r="E29" s="40" t="n">
        <v>137</v>
      </c>
      <c r="F29" s="40" t="n">
        <v>144</v>
      </c>
      <c r="G29" s="40" t="n">
        <v>151</v>
      </c>
      <c r="H29" s="40" t="n">
        <v>158</v>
      </c>
      <c r="I29" s="40" t="n">
        <v>165</v>
      </c>
      <c r="J29" s="40" t="n">
        <v>172</v>
      </c>
      <c r="K29" s="40" t="n">
        <v>179</v>
      </c>
      <c r="L29" s="40" t="n">
        <v>186</v>
      </c>
      <c r="M29" s="40" t="n">
        <v>193</v>
      </c>
      <c r="N29" s="41" t="n">
        <v>200</v>
      </c>
      <c r="O29" s="41" t="n">
        <v>200</v>
      </c>
      <c r="P29" s="30" t="inlineStr">
        <is>
          <t>+7</t>
        </is>
      </c>
    </row>
    <row r="30" ht="16" customHeight="1">
      <c r="A30" s="80" t="n"/>
      <c r="B30" s="61" t="inlineStr">
        <is>
          <t>T5</t>
        </is>
      </c>
      <c r="C30" s="46" t="inlineStr">
        <is>
          <t>유일</t>
        </is>
      </c>
      <c r="D30" s="35" t="n">
        <v>180</v>
      </c>
      <c r="E30" s="35" t="n">
        <v>188</v>
      </c>
      <c r="F30" s="35" t="n">
        <v>196</v>
      </c>
      <c r="G30" s="35" t="n">
        <v>204</v>
      </c>
      <c r="H30" s="35" t="n">
        <v>212</v>
      </c>
      <c r="I30" s="35" t="n">
        <v>220</v>
      </c>
      <c r="J30" s="35" t="n">
        <v>228</v>
      </c>
      <c r="K30" s="35" t="n">
        <v>236</v>
      </c>
      <c r="L30" s="35" t="n">
        <v>244</v>
      </c>
      <c r="M30" s="35" t="n">
        <v>252</v>
      </c>
      <c r="N30" s="36" t="n">
        <v>260</v>
      </c>
      <c r="O30" s="36" t="n">
        <v>260</v>
      </c>
      <c r="P30" s="30" t="inlineStr">
        <is>
          <t>+8</t>
        </is>
      </c>
    </row>
    <row r="31" ht="16" customHeight="1">
      <c r="A31" s="80" t="n"/>
      <c r="B31" s="62" t="inlineStr">
        <is>
          <t>T6</t>
        </is>
      </c>
      <c r="C31" s="48" t="inlineStr">
        <is>
          <t>유물</t>
        </is>
      </c>
      <c r="D31" s="40" t="n">
        <v>240</v>
      </c>
      <c r="E31" s="40" t="n">
        <v>249</v>
      </c>
      <c r="F31" s="40" t="n">
        <v>258</v>
      </c>
      <c r="G31" s="40" t="n">
        <v>267</v>
      </c>
      <c r="H31" s="40" t="n">
        <v>276</v>
      </c>
      <c r="I31" s="40" t="n">
        <v>285</v>
      </c>
      <c r="J31" s="40" t="n">
        <v>294</v>
      </c>
      <c r="K31" s="40" t="n">
        <v>303</v>
      </c>
      <c r="L31" s="40" t="n">
        <v>312</v>
      </c>
      <c r="M31" s="40" t="n">
        <v>321</v>
      </c>
      <c r="N31" s="41" t="n">
        <v>330</v>
      </c>
      <c r="O31" s="41" t="n">
        <v>330</v>
      </c>
      <c r="P31" s="30" t="inlineStr">
        <is>
          <t>+9</t>
        </is>
      </c>
    </row>
    <row r="32" ht="16" customHeight="1">
      <c r="A32" s="81" t="n"/>
      <c r="B32" s="63" t="inlineStr">
        <is>
          <t>T7</t>
        </is>
      </c>
      <c r="C32" s="48" t="inlineStr">
        <is>
          <t>유물</t>
        </is>
      </c>
      <c r="D32" s="35" t="n">
        <v>300</v>
      </c>
      <c r="E32" s="35" t="n">
        <v>310</v>
      </c>
      <c r="F32" s="35" t="n">
        <v>320</v>
      </c>
      <c r="G32" s="35" t="n">
        <v>330</v>
      </c>
      <c r="H32" s="35" t="n">
        <v>340</v>
      </c>
      <c r="I32" s="35" t="n">
        <v>350</v>
      </c>
      <c r="J32" s="35" t="n">
        <v>360</v>
      </c>
      <c r="K32" s="35" t="n">
        <v>370</v>
      </c>
      <c r="L32" s="35" t="n">
        <v>380</v>
      </c>
      <c r="M32" s="35" t="n">
        <v>390</v>
      </c>
      <c r="N32" s="36" t="n">
        <v>400</v>
      </c>
      <c r="O32" s="36" t="n">
        <v>400</v>
      </c>
      <c r="P32" s="30" t="inlineStr">
        <is>
          <t>+10</t>
        </is>
      </c>
    </row>
  </sheetData>
  <mergeCells count="10">
    <mergeCell ref="A26:A32"/>
    <mergeCell ref="A16:A22"/>
    <mergeCell ref="A13:P13"/>
    <mergeCell ref="A14:P14"/>
    <mergeCell ref="A1:P1"/>
    <mergeCell ref="A23:P23"/>
    <mergeCell ref="A4:P4"/>
    <mergeCell ref="A6:A12"/>
    <mergeCell ref="A3:P3"/>
    <mergeCell ref="A24:P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32.40000000000001" customWidth="1" min="1" max="1"/>
    <col width="60" customWidth="1" min="2" max="2"/>
    <col width="8" customWidth="1" min="3" max="3"/>
    <col width="28" customWidth="1" min="4" max="4"/>
    <col width="52" customWidth="1" min="5" max="5"/>
  </cols>
  <sheetData>
    <row r="1" ht="32" customHeight="1">
      <c r="A1" s="116" t="inlineStr">
        <is>
          <t>📌  스탯 캡 &amp; 데미지 공식</t>
        </is>
      </c>
      <c r="B1" s="76" t="n"/>
      <c r="C1" s="76" t="n"/>
      <c r="D1" s="76" t="n"/>
      <c r="E1" s="76" t="n"/>
    </row>
    <row r="3" ht="22" customHeight="1">
      <c r="A3" s="115" t="inlineStr">
        <is>
          <t>◆ 능력치 상한값 (CAP)</t>
        </is>
      </c>
      <c r="B3" s="77" t="n"/>
      <c r="C3" s="77" t="n"/>
      <c r="D3" s="77" t="n"/>
      <c r="E3" s="77" t="n"/>
    </row>
    <row r="4" ht="18" customHeight="1">
      <c r="A4" s="19" t="inlineStr">
        <is>
          <t>능력치</t>
        </is>
      </c>
      <c r="B4" s="19" t="inlineStr">
        <is>
          <t>상한</t>
        </is>
      </c>
      <c r="C4" s="19" t="inlineStr">
        <is>
          <t>단위</t>
        </is>
      </c>
      <c r="D4" s="19" t="inlineStr">
        <is>
          <t>내부 키</t>
        </is>
      </c>
      <c r="E4" s="19" t="inlineStr">
        <is>
          <t>설명 / 공식</t>
        </is>
      </c>
    </row>
    <row r="5" ht="16" customHeight="1">
      <c r="A5" s="67" t="inlineStr">
        <is>
          <t>공격력 증가</t>
        </is>
      </c>
      <c r="B5" s="68" t="n">
        <v>50</v>
      </c>
      <c r="C5" s="30" t="inlineStr">
        <is>
          <t>%</t>
        </is>
      </c>
      <c r="D5" s="52" t="inlineStr">
        <is>
          <t>AttackVaryper</t>
        </is>
      </c>
      <c r="E5" s="69" t="inlineStr">
        <is>
          <t>무기/반지 기본 공격력에 비율로 가산</t>
        </is>
      </c>
    </row>
    <row r="6" ht="16" customHeight="1">
      <c r="A6" s="70" t="inlineStr">
        <is>
          <t>방어력 증가</t>
        </is>
      </c>
      <c r="B6" s="68" t="n">
        <v>50</v>
      </c>
      <c r="C6" s="30" t="inlineStr">
        <is>
          <t>%</t>
        </is>
      </c>
      <c r="D6" s="57" t="inlineStr">
        <is>
          <t>DefenseVaryper</t>
        </is>
      </c>
      <c r="E6" s="71" t="inlineStr">
        <is>
          <t>방어구/악세 기본 방어력에 비율로 가산</t>
        </is>
      </c>
    </row>
    <row r="7" ht="16" customHeight="1">
      <c r="A7" s="67" t="inlineStr">
        <is>
          <t>추가 공격력</t>
        </is>
      </c>
      <c r="B7" s="68" t="n">
        <v>300</v>
      </c>
      <c r="C7" s="30" t="inlineStr">
        <is>
          <t>고정</t>
        </is>
      </c>
      <c r="D7" s="52" t="inlineStr">
        <is>
          <t>AddAttackVary</t>
        </is>
      </c>
      <c r="E7" s="69" t="inlineStr">
        <is>
          <t>최종 ATK 계산 후 고정값 추가</t>
        </is>
      </c>
    </row>
    <row r="8" ht="16" customHeight="1">
      <c r="A8" s="70" t="inlineStr">
        <is>
          <t>추가 방어력</t>
        </is>
      </c>
      <c r="B8" s="68" t="n">
        <v>600</v>
      </c>
      <c r="C8" s="30" t="inlineStr">
        <is>
          <t>고정</t>
        </is>
      </c>
      <c r="D8" s="57" t="inlineStr">
        <is>
          <t>AddDefenseVary</t>
        </is>
      </c>
      <c r="E8" s="71" t="inlineStr">
        <is>
          <t>최종 DEF 계산 후 고정값 추가</t>
        </is>
      </c>
    </row>
    <row r="9" ht="16" customHeight="1">
      <c r="A9" s="67" t="inlineStr">
        <is>
          <t>스킬 가속</t>
        </is>
      </c>
      <c r="B9" s="68" t="n">
        <v>100</v>
      </c>
      <c r="C9" s="30" t="inlineStr">
        <is>
          <t>n</t>
        </is>
      </c>
      <c r="D9" s="52" t="inlineStr">
        <is>
          <t>SkillCooldownAccVary</t>
        </is>
      </c>
      <c r="E9" s="69" t="inlineStr">
        <is>
          <t>유효CD = 기본CD × 100 / (100+n)</t>
        </is>
      </c>
    </row>
    <row r="10" ht="16" customHeight="1">
      <c r="A10" s="70" t="inlineStr">
        <is>
          <t>주는 피해 증가</t>
        </is>
      </c>
      <c r="B10" s="68" t="n">
        <v>100</v>
      </c>
      <c r="C10" s="30" t="inlineStr">
        <is>
          <t>%</t>
        </is>
      </c>
      <c r="D10" s="57" t="inlineStr">
        <is>
          <t>DamageUpVaryper</t>
        </is>
      </c>
      <c r="E10" s="71" t="inlineStr">
        <is>
          <t>PVE·PVP 공통 적용</t>
        </is>
      </c>
    </row>
    <row r="11" ht="16" customHeight="1">
      <c r="A11" s="67" t="inlineStr">
        <is>
          <t>받는 피해 감소</t>
        </is>
      </c>
      <c r="B11" s="68" t="n">
        <v>50</v>
      </c>
      <c r="C11" s="30" t="inlineStr">
        <is>
          <t>%</t>
        </is>
      </c>
      <c r="D11" s="52" t="inlineStr">
        <is>
          <t>DamageDownVaryper</t>
        </is>
      </c>
      <c r="E11" s="69" t="inlineStr">
        <is>
          <t>PVE·PVP 공통 적용</t>
        </is>
      </c>
    </row>
    <row r="12" ht="16" customHeight="1">
      <c r="A12" s="70" t="inlineStr">
        <is>
          <t>PVE 피해 증가</t>
        </is>
      </c>
      <c r="B12" s="68" t="n">
        <v>100</v>
      </c>
      <c r="C12" s="30" t="inlineStr">
        <is>
          <t>%</t>
        </is>
      </c>
      <c r="D12" s="57" t="inlineStr">
        <is>
          <t>PVEDamageUpVaryper</t>
        </is>
      </c>
      <c r="E12" s="71" t="inlineStr">
        <is>
          <t>PVE 전용, 주는 피해 증가와 곱연산</t>
        </is>
      </c>
    </row>
    <row r="13" ht="16" customHeight="1">
      <c r="A13" s="67" t="inlineStr">
        <is>
          <t>PVE 피해 감소</t>
        </is>
      </c>
      <c r="B13" s="68" t="n">
        <v>50</v>
      </c>
      <c r="C13" s="30" t="inlineStr">
        <is>
          <t>%</t>
        </is>
      </c>
      <c r="D13" s="52" t="inlineStr">
        <is>
          <t>PVEDamageDownVaryper</t>
        </is>
      </c>
      <c r="E13" s="69" t="inlineStr">
        <is>
          <t>PVE 전용</t>
        </is>
      </c>
    </row>
    <row r="14" ht="16" customHeight="1">
      <c r="A14" s="70" t="inlineStr">
        <is>
          <t>PVP 피해 증가</t>
        </is>
      </c>
      <c r="B14" s="68" t="n">
        <v>100</v>
      </c>
      <c r="C14" s="30" t="inlineStr">
        <is>
          <t>%</t>
        </is>
      </c>
      <c r="D14" s="57" t="inlineStr">
        <is>
          <t>PVPDamageUpVaryper</t>
        </is>
      </c>
      <c r="E14" s="71" t="inlineStr">
        <is>
          <t>PVP 전용</t>
        </is>
      </c>
    </row>
    <row r="15" ht="16" customHeight="1">
      <c r="A15" s="67" t="inlineStr">
        <is>
          <t>PVP 피해 감소</t>
        </is>
      </c>
      <c r="B15" s="68" t="n">
        <v>50</v>
      </c>
      <c r="C15" s="30" t="inlineStr">
        <is>
          <t>%</t>
        </is>
      </c>
      <c r="D15" s="52" t="inlineStr">
        <is>
          <t>PVPDamageDownVaryper</t>
        </is>
      </c>
      <c r="E15" s="69" t="inlineStr">
        <is>
          <t>PVP 전용</t>
        </is>
      </c>
    </row>
    <row r="16" ht="16" customHeight="1">
      <c r="A16" s="70" t="inlineStr">
        <is>
          <t>치명타 확률</t>
        </is>
      </c>
      <c r="B16" s="68" t="n">
        <v>80</v>
      </c>
      <c r="C16" s="30" t="inlineStr">
        <is>
          <t>%</t>
        </is>
      </c>
      <c r="D16" s="57" t="inlineStr">
        <is>
          <t>CriVaryper</t>
        </is>
      </c>
      <c r="E16" s="71" t="inlineStr">
        <is>
          <t>치명타 가능 스킬에만 적용</t>
        </is>
      </c>
    </row>
    <row r="17" ht="16" customHeight="1">
      <c r="A17" s="67" t="inlineStr">
        <is>
          <t>치명타 피해</t>
        </is>
      </c>
      <c r="B17" s="68" t="n">
        <v>300</v>
      </c>
      <c r="C17" s="30" t="inlineStr">
        <is>
          <t>%</t>
        </is>
      </c>
      <c r="D17" s="52" t="inlineStr">
        <is>
          <t>CriDamageVaryper</t>
        </is>
      </c>
      <c r="E17" s="69" t="inlineStr">
        <is>
          <t>치명타 배율 = 1 + (확률/100)×(피해/100)</t>
        </is>
      </c>
    </row>
    <row r="18" ht="16" customHeight="1">
      <c r="A18" s="70" t="inlineStr">
        <is>
          <t>공격 속도</t>
        </is>
      </c>
      <c r="B18" s="68" t="n">
        <v>300</v>
      </c>
      <c r="C18" s="30" t="inlineStr">
        <is>
          <t>%</t>
        </is>
      </c>
      <c r="D18" s="57" t="inlineStr">
        <is>
          <t>AtkSpeedVaryper</t>
        </is>
      </c>
      <c r="E18" s="71" t="inlineStr">
        <is>
          <t>실질 공속 = 0.91 × (1 + 공격속도%/100)</t>
        </is>
      </c>
    </row>
    <row r="19" ht="8" customHeight="1">
      <c r="A19" s="2" t="n"/>
    </row>
    <row r="20" ht="22" customHeight="1">
      <c r="A20" s="115" t="inlineStr">
        <is>
          <t>◆ 공식 정의</t>
        </is>
      </c>
      <c r="B20" s="77" t="n"/>
      <c r="C20" s="77" t="n"/>
      <c r="D20" s="77" t="n"/>
      <c r="E20" s="77" t="n"/>
    </row>
    <row r="21" ht="18" customHeight="1">
      <c r="A21" s="19" t="inlineStr">
        <is>
          <t>항목</t>
        </is>
      </c>
      <c r="B21" s="72" t="inlineStr">
        <is>
          <t>공식 / 설명</t>
        </is>
      </c>
      <c r="C21" s="82" t="n"/>
      <c r="D21" s="82" t="n"/>
      <c r="E21" s="83" t="n"/>
    </row>
    <row r="22" ht="86" customHeight="1">
      <c r="A22" s="4" t="inlineStr">
        <is>
          <t>데미지 (기본식)</t>
        </is>
      </c>
      <c r="B22" s="73" t="inlineStr">
        <is>
          <t>ATK  ×  [ 500 / (DEF + 500) ]
     ×  (1 + 피해증가% / 100)  ×  (1 − 피해감소% / 100)
     ×  (1 + 모드피해증가% / 100)  ×  (1 − 모드피해감소% / 100)
     ×  (스킬계수 / 100)
     ×  치명타배율</t>
        </is>
      </c>
      <c r="C22" s="82" t="n"/>
      <c r="D22" s="82" t="n"/>
      <c r="E22" s="83" t="n"/>
    </row>
    <row r="23" ht="54" customHeight="1">
      <c r="A23" s="4" t="inlineStr">
        <is>
          <t>방어 계수  [K=500]</t>
        </is>
      </c>
      <c r="B23" s="74" t="inlineStr">
        <is>
          <t>DEF =    0  →  500/(0+500)   = 1.00  (피해 100%)
DEF =  500  →  500/(500+500) = 0.50  (피해  50%)
DEF = 1000  →  500/(1000+500)= 0.33  (피해  33%)</t>
        </is>
      </c>
      <c r="C23" s="84" t="n"/>
      <c r="D23" s="84" t="n"/>
      <c r="E23" s="85" t="n"/>
    </row>
    <row r="24" ht="38" customHeight="1">
      <c r="A24" s="4" t="inlineStr">
        <is>
          <t>치명타 배율  (치명타 가능 스킬만)</t>
        </is>
      </c>
      <c r="B24" s="75" t="inlineStr">
        <is>
          <t>배율  =  1  +  (치명타확률 / 100)  ×  (치명타피해 / 100)
예)  확률 20%,  피해 50%  →  배율 = 1 + 0.20 × 0.50 = 1.10</t>
        </is>
      </c>
      <c r="C24" s="84" t="n"/>
      <c r="D24" s="84" t="n"/>
      <c r="E24" s="85" t="n"/>
    </row>
    <row r="25" ht="38" customHeight="1">
      <c r="A25" s="4" t="inlineStr">
        <is>
          <t>스킬 가속 적용 CD</t>
        </is>
      </c>
      <c r="B25" s="74" t="inlineStr">
        <is>
          <t>유효CD  =  기본CD  ×  100 / (100 + 스킬가속)
예)  기본CD 12s,  가속 25  →  12 × 100/125  =  9.6 s</t>
        </is>
      </c>
      <c r="C25" s="84" t="n"/>
      <c r="D25" s="84" t="n"/>
      <c r="E25" s="85" t="n"/>
    </row>
    <row r="26" ht="38" customHeight="1">
      <c r="A26" s="4" t="inlineStr">
        <is>
          <t>최종 ATK</t>
        </is>
      </c>
      <c r="B26" s="75" t="inlineStr">
        <is>
          <t>(무기ATK  +  반지1ATK  +  반지2ATK)
    ×  (1 + 공격력% / 100)   +   추가공격력</t>
        </is>
      </c>
      <c r="C26" s="84" t="n"/>
      <c r="D26" s="84" t="n"/>
      <c r="E26" s="85" t="n"/>
    </row>
    <row r="27" ht="38" customHeight="1">
      <c r="A27" s="4" t="inlineStr">
        <is>
          <t>최종 DEF</t>
        </is>
      </c>
      <c r="B27" s="74" t="inlineStr">
        <is>
          <t>(투구DEF  +  갑옷DEF  +  장갑DEF  +  신발DEF  +  목걸이DEF  +  귀걸이DEF)
    ×  (1 + 방어력% / 100)   +   추가방어력</t>
        </is>
      </c>
      <c r="C27" s="84" t="n"/>
      <c r="D27" s="84" t="n"/>
      <c r="E27" s="85" t="n"/>
    </row>
    <row r="28" ht="22" customHeight="1">
      <c r="A28" s="4" t="inlineStr">
        <is>
          <t>캐릭터 최대 HP  (레벨 n)</t>
        </is>
      </c>
      <c r="B28" s="75" t="inlineStr">
        <is>
          <t>1500  +  (n − 1) × 100        [레벨 1: 1500  /  레벨 100: 11400]</t>
        </is>
      </c>
      <c r="C28" s="84" t="n"/>
      <c r="D28" s="84" t="n"/>
      <c r="E28" s="85" t="n"/>
    </row>
    <row r="29" ht="22" customHeight="1">
      <c r="A29" s="4" t="inlineStr">
        <is>
          <t>캐릭터 최대 MP  (레벨 n)</t>
        </is>
      </c>
      <c r="B29" s="74" t="inlineStr">
        <is>
          <t>360  +  (n − 1) × 20          [레벨 1: 360   /  레벨 100: 2340]</t>
        </is>
      </c>
      <c r="C29" s="84" t="n"/>
      <c r="D29" s="84" t="n"/>
      <c r="E29" s="85" t="n"/>
    </row>
    <row r="30" ht="22" customHeight="1">
      <c r="A30" s="4" t="inlineStr">
        <is>
          <t>MP 자연 회복</t>
        </is>
      </c>
      <c r="B30" s="75" t="inlineStr">
        <is>
          <t>15초마다  +3 MP  회복  (RegenMpVary = 3,  전 레벨 동일)</t>
        </is>
      </c>
      <c r="C30" s="84" t="n"/>
      <c r="D30" s="84" t="n"/>
      <c r="E30" s="85" t="n"/>
    </row>
    <row r="31" ht="22" customHeight="1">
      <c r="A31" s="4" t="inlineStr">
        <is>
          <t>HP 자연 회복</t>
        </is>
      </c>
      <c r="B31" s="74" t="inlineStr">
        <is>
          <t>전투 외  5초마다  +5 HP  회복  (RegenHpVary = 5,  전 레벨 동일)</t>
        </is>
      </c>
      <c r="C31" s="84" t="n"/>
      <c r="D31" s="84" t="n"/>
      <c r="E31" s="85" t="n"/>
    </row>
  </sheetData>
  <mergeCells count="15">
    <mergeCell ref="B31:E31"/>
    <mergeCell ref="B26:E26"/>
    <mergeCell ref="B27:E27"/>
    <mergeCell ref="B23:E23"/>
    <mergeCell ref="A20:E20"/>
    <mergeCell ref="B21:E21"/>
    <mergeCell ref="A19:E19"/>
    <mergeCell ref="B30:E30"/>
    <mergeCell ref="B29:E29"/>
    <mergeCell ref="A1:E1"/>
    <mergeCell ref="B25:E25"/>
    <mergeCell ref="B24:E24"/>
    <mergeCell ref="B28:E28"/>
    <mergeCell ref="B22:E22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D700"/>
    <outlinePr summaryBelow="1" summaryRight="1"/>
    <pageSetUpPr/>
  </sheetPr>
  <dimension ref="A1:J69"/>
  <sheetViews>
    <sheetView workbookViewId="0">
      <pane xSplit="1" ySplit="16" topLeftCell="B1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0" customWidth="1" min="1" max="1"/>
    <col width="17.2" customWidth="1" min="2" max="2"/>
    <col width="11" customWidth="1" min="3" max="3"/>
    <col width="8" customWidth="1" min="4" max="4"/>
    <col width="8" customWidth="1" min="5" max="5"/>
    <col width="8" customWidth="1" min="6" max="6"/>
    <col width="9" customWidth="1" min="7" max="7"/>
    <col width="9" customWidth="1" min="8" max="8"/>
    <col width="9" customWidth="1" min="9" max="9"/>
    <col width="56.4" customWidth="1" min="10" max="10"/>
  </cols>
  <sheetData>
    <row r="1" ht="32" customHeight="1">
      <c r="A1" s="118" t="inlineStr">
        <is>
          <t>⚡  장비 추가 옵션 (AddVary) — 수치 밸런스 설계</t>
        </is>
      </c>
    </row>
    <row r="2" ht="6" customHeight="1">
      <c r="A2" s="87" t="n"/>
      <c r="B2" s="87" t="n"/>
      <c r="C2" s="87" t="n"/>
      <c r="D2" s="87" t="n"/>
      <c r="E2" s="87" t="n"/>
      <c r="F2" s="87" t="n"/>
      <c r="G2" s="87" t="n"/>
      <c r="H2" s="87" t="n"/>
      <c r="I2" s="87" t="n"/>
      <c r="J2" s="87" t="n"/>
    </row>
    <row r="3" ht="22" customHeight="1">
      <c r="A3" s="119" t="inlineStr">
        <is>
          <t xml:space="preserve">  기획 의도</t>
        </is>
      </c>
    </row>
    <row r="4" ht="18" customHeight="1">
      <c r="A4" s="120" t="inlineStr">
        <is>
          <t xml:space="preserve">  ▷ 수치 산출 방식</t>
        </is>
      </c>
    </row>
    <row r="5" ht="15" customHeight="1">
      <c r="A5" s="121" t="inlineStr">
        <is>
          <t xml:space="preserve">      각 옵션 수치  =  FLOOR( 해당 티어의 기본 능력치 × 비율, 1 )  (소수점 이하 버림)</t>
        </is>
      </c>
    </row>
    <row r="6" ht="15" customHeight="1">
      <c r="A6" s="121" t="inlineStr">
        <is>
          <t xml:space="preserve">      티어가 높을수록 기본 능력치도 크므로 더 큰 추가 수치 제공  →  티어별 장비 가치 자동 보장</t>
        </is>
      </c>
    </row>
    <row r="7" ht="18" customHeight="1">
      <c r="A7" s="120" t="inlineStr">
        <is>
          <t xml:space="preserve">  ▷ 슬롯별 적용 능력치</t>
        </is>
      </c>
    </row>
    <row r="8" ht="15" customHeight="1">
      <c r="A8" s="121" t="inlineStr">
        <is>
          <t xml:space="preserve">      무기 / 반지                       →   AddAttackVary          (추가 공격력)</t>
        </is>
      </c>
    </row>
    <row r="9" ht="15" customHeight="1">
      <c r="A9" s="121" t="inlineStr">
        <is>
          <t xml:space="preserve">      방어구 / 목걸이 / 귀걸이    →   AddPhysicalDefenseVary  (추가 방어력)</t>
        </is>
      </c>
    </row>
    <row r="10" ht="18" customHeight="1">
      <c r="A10" s="120" t="inlineStr">
        <is>
          <t xml:space="preserve">  ▷ 확률 설계 철학</t>
        </is>
      </c>
    </row>
    <row r="11" ht="15" customHeight="1">
      <c r="A11" s="121" t="inlineStr">
        <is>
          <t xml:space="preserve">      옵션 1~3 (낮은 수치)  →  등장 확률 10% / 10% / 10%  |  옵션 4~5  →  20% / 20%  |  옵션 6 (최고)  →  30%</t>
        </is>
      </c>
    </row>
    <row r="12" ht="15" customHeight="1">
      <c r="A12" s="121" t="inlineStr">
        <is>
          <t xml:space="preserve">      높은 수치가 더 자주 등장하도록 설계  →  풀업 직전의 아쉬운 느낌 유지, 박탈감 최소화</t>
        </is>
      </c>
    </row>
    <row r="13" ht="8" customHeight="1">
      <c r="A13" s="87" t="n"/>
      <c r="B13" s="87" t="n"/>
      <c r="C13" s="87" t="n"/>
      <c r="D13" s="87" t="n"/>
      <c r="E13" s="87" t="n"/>
      <c r="F13" s="87" t="n"/>
      <c r="G13" s="87" t="n"/>
      <c r="H13" s="87" t="n"/>
      <c r="I13" s="87" t="n"/>
      <c r="J13" s="87" t="n"/>
    </row>
    <row r="14" ht="18" customHeight="1">
      <c r="A14" s="122" t="inlineStr"/>
      <c r="B14" s="122" t="inlineStr">
        <is>
          <t>옵션 번호</t>
        </is>
      </c>
      <c r="C14" s="122" t="inlineStr"/>
      <c r="D14" s="122" t="inlineStr">
        <is>
          <t>1</t>
        </is>
      </c>
      <c r="E14" s="122" t="inlineStr">
        <is>
          <t>2</t>
        </is>
      </c>
      <c r="F14" s="122" t="inlineStr">
        <is>
          <t>3</t>
        </is>
      </c>
      <c r="G14" s="122" t="inlineStr">
        <is>
          <t>4</t>
        </is>
      </c>
      <c r="H14" s="122" t="inlineStr">
        <is>
          <t>5</t>
        </is>
      </c>
      <c r="I14" s="122" t="inlineStr">
        <is>
          <t>6</t>
        </is>
      </c>
      <c r="J14" s="122" t="inlineStr"/>
    </row>
    <row r="15" ht="16" customHeight="1">
      <c r="A15" s="123" t="inlineStr"/>
      <c r="B15" s="123" t="inlineStr">
        <is>
          <t>등장 확률</t>
        </is>
      </c>
      <c r="C15" s="123" t="inlineStr"/>
      <c r="D15" s="124" t="n">
        <v>0.1</v>
      </c>
      <c r="E15" s="124" t="n">
        <v>0.1</v>
      </c>
      <c r="F15" s="124" t="n">
        <v>0.1</v>
      </c>
      <c r="G15" s="124" t="n">
        <v>0.2</v>
      </c>
      <c r="H15" s="124" t="n">
        <v>0.2</v>
      </c>
      <c r="I15" s="124" t="n">
        <v>0.3</v>
      </c>
      <c r="J15" s="123" t="inlineStr"/>
    </row>
    <row r="16" ht="20" customHeight="1">
      <c r="A16" s="93" t="inlineStr"/>
      <c r="B16" s="125" t="inlineStr">
        <is>
          <t>베이스 대비 %</t>
        </is>
      </c>
      <c r="C16" s="93" t="inlineStr"/>
      <c r="D16" s="126" t="n">
        <v>0.05</v>
      </c>
      <c r="E16" s="126" t="n">
        <v>0.06</v>
      </c>
      <c r="F16" s="126" t="n">
        <v>0.07000000000000001</v>
      </c>
      <c r="G16" s="126" t="n">
        <v>0.08</v>
      </c>
      <c r="H16" s="126" t="n">
        <v>0.09</v>
      </c>
      <c r="I16" s="126" t="n">
        <v>0.1</v>
      </c>
      <c r="J16" s="127" t="inlineStr">
        <is>
          <t>★  이 행의 % 값을 수정하면 아래 모든 테이블 수치 자동 갱신</t>
        </is>
      </c>
    </row>
    <row r="17" ht="10" customHeight="1">
      <c r="A17" s="87" t="n"/>
      <c r="B17" s="87" t="n"/>
      <c r="C17" s="87" t="n"/>
      <c r="D17" s="87" t="n"/>
      <c r="E17" s="87" t="n"/>
      <c r="F17" s="87" t="n"/>
      <c r="G17" s="87" t="n"/>
      <c r="H17" s="87" t="n"/>
      <c r="I17" s="87" t="n"/>
      <c r="J17" s="87" t="n"/>
    </row>
    <row r="18" ht="22" customHeight="1">
      <c r="A18" s="128" t="inlineStr">
        <is>
          <t xml:space="preserve">  ⚔ 무기 — AddAttackVary (T1~T7)</t>
        </is>
      </c>
    </row>
    <row r="19" ht="18" customHeight="1">
      <c r="A19" s="122" t="inlineStr"/>
      <c r="B19" s="122" t="inlineStr">
        <is>
          <t>티어</t>
        </is>
      </c>
      <c r="C19" s="122" t="inlineStr">
        <is>
          <t>베이스 ATK</t>
        </is>
      </c>
      <c r="D19" s="122" t="inlineStr">
        <is>
          <t>옵션1</t>
        </is>
      </c>
      <c r="E19" s="122" t="inlineStr">
        <is>
          <t>옵션2</t>
        </is>
      </c>
      <c r="F19" s="122" t="inlineStr">
        <is>
          <t>옵션3</t>
        </is>
      </c>
      <c r="G19" s="122" t="inlineStr">
        <is>
          <t>옵션4</t>
        </is>
      </c>
      <c r="H19" s="122" t="inlineStr">
        <is>
          <t>옵션5</t>
        </is>
      </c>
      <c r="I19" s="122" t="inlineStr">
        <is>
          <t>옵션6</t>
        </is>
      </c>
      <c r="J19" s="122" t="inlineStr">
        <is>
          <t>범위</t>
        </is>
      </c>
    </row>
    <row r="20" ht="16" customHeight="1">
      <c r="A20" s="100" t="inlineStr"/>
      <c r="B20" s="129" t="inlineStr">
        <is>
          <t>T1</t>
        </is>
      </c>
      <c r="C20" s="130" t="n">
        <v>60</v>
      </c>
      <c r="D20" s="130">
        <f>FLOOR($C20*D$16,1)</f>
        <v/>
      </c>
      <c r="E20" s="130">
        <f>FLOOR($C20*E$16,1)</f>
        <v/>
      </c>
      <c r="F20" s="130">
        <f>FLOOR($C20*F$16,1)</f>
        <v/>
      </c>
      <c r="G20" s="130">
        <f>FLOOR($C20*G$16,1)</f>
        <v/>
      </c>
      <c r="H20" s="130">
        <f>FLOOR($C20*H$16,1)</f>
        <v/>
      </c>
      <c r="I20" s="130">
        <f>FLOOR($C20*I$16,1)</f>
        <v/>
      </c>
      <c r="J20" s="131">
        <f>D20&amp;" ~ "&amp;I20</f>
        <v/>
      </c>
    </row>
    <row r="21" ht="16" customHeight="1">
      <c r="A21" s="104" t="inlineStr"/>
      <c r="B21" s="132" t="inlineStr">
        <is>
          <t>T2</t>
        </is>
      </c>
      <c r="C21" s="133" t="n">
        <v>80</v>
      </c>
      <c r="D21" s="133">
        <f>FLOOR($C21*D$16,1)</f>
        <v/>
      </c>
      <c r="E21" s="133">
        <f>FLOOR($C21*E$16,1)</f>
        <v/>
      </c>
      <c r="F21" s="133">
        <f>FLOOR($C21*F$16,1)</f>
        <v/>
      </c>
      <c r="G21" s="133">
        <f>FLOOR($C21*G$16,1)</f>
        <v/>
      </c>
      <c r="H21" s="133">
        <f>FLOOR($C21*H$16,1)</f>
        <v/>
      </c>
      <c r="I21" s="133">
        <f>FLOOR($C21*I$16,1)</f>
        <v/>
      </c>
      <c r="J21" s="134">
        <f>D21&amp;" ~ "&amp;I21</f>
        <v/>
      </c>
    </row>
    <row r="22" ht="16" customHeight="1">
      <c r="A22" s="100" t="inlineStr"/>
      <c r="B22" s="129" t="inlineStr">
        <is>
          <t>T3</t>
        </is>
      </c>
      <c r="C22" s="130" t="n">
        <v>120</v>
      </c>
      <c r="D22" s="130">
        <f>FLOOR($C22*D$16,1)</f>
        <v/>
      </c>
      <c r="E22" s="130">
        <f>FLOOR($C22*E$16,1)</f>
        <v/>
      </c>
      <c r="F22" s="130">
        <f>FLOOR($C22*F$16,1)</f>
        <v/>
      </c>
      <c r="G22" s="130">
        <f>FLOOR($C22*G$16,1)</f>
        <v/>
      </c>
      <c r="H22" s="130">
        <f>FLOOR($C22*H$16,1)</f>
        <v/>
      </c>
      <c r="I22" s="130">
        <f>FLOOR($C22*I$16,1)</f>
        <v/>
      </c>
      <c r="J22" s="131">
        <f>D22&amp;" ~ "&amp;I22</f>
        <v/>
      </c>
    </row>
    <row r="23" ht="16" customHeight="1">
      <c r="A23" s="104" t="inlineStr"/>
      <c r="B23" s="132" t="inlineStr">
        <is>
          <t>T4</t>
        </is>
      </c>
      <c r="C23" s="133" t="n">
        <v>180</v>
      </c>
      <c r="D23" s="133">
        <f>FLOOR($C23*D$16,1)</f>
        <v/>
      </c>
      <c r="E23" s="133">
        <f>FLOOR($C23*E$16,1)</f>
        <v/>
      </c>
      <c r="F23" s="133">
        <f>FLOOR($C23*F$16,1)</f>
        <v/>
      </c>
      <c r="G23" s="133">
        <f>FLOOR($C23*G$16,1)</f>
        <v/>
      </c>
      <c r="H23" s="133">
        <f>FLOOR($C23*H$16,1)</f>
        <v/>
      </c>
      <c r="I23" s="133">
        <f>FLOOR($C23*I$16,1)</f>
        <v/>
      </c>
      <c r="J23" s="134">
        <f>D23&amp;" ~ "&amp;I23</f>
        <v/>
      </c>
    </row>
    <row r="24" ht="16" customHeight="1">
      <c r="A24" s="100" t="inlineStr"/>
      <c r="B24" s="129" t="inlineStr">
        <is>
          <t>T5</t>
        </is>
      </c>
      <c r="C24" s="130" t="n">
        <v>260</v>
      </c>
      <c r="D24" s="130">
        <f>FLOOR($C24*D$16,1)</f>
        <v/>
      </c>
      <c r="E24" s="130">
        <f>FLOOR($C24*E$16,1)</f>
        <v/>
      </c>
      <c r="F24" s="130">
        <f>FLOOR($C24*F$16,1)</f>
        <v/>
      </c>
      <c r="G24" s="130">
        <f>FLOOR($C24*G$16,1)</f>
        <v/>
      </c>
      <c r="H24" s="130">
        <f>FLOOR($C24*H$16,1)</f>
        <v/>
      </c>
      <c r="I24" s="130">
        <f>FLOOR($C24*I$16,1)</f>
        <v/>
      </c>
      <c r="J24" s="131">
        <f>D24&amp;" ~ "&amp;I24</f>
        <v/>
      </c>
    </row>
    <row r="25" ht="16" customHeight="1">
      <c r="A25" s="104" t="inlineStr"/>
      <c r="B25" s="132" t="inlineStr">
        <is>
          <t>T6</t>
        </is>
      </c>
      <c r="C25" s="133" t="n">
        <v>360</v>
      </c>
      <c r="D25" s="133">
        <f>FLOOR($C25*D$16,1)</f>
        <v/>
      </c>
      <c r="E25" s="133">
        <f>FLOOR($C25*E$16,1)</f>
        <v/>
      </c>
      <c r="F25" s="133">
        <f>FLOOR($C25*F$16,1)</f>
        <v/>
      </c>
      <c r="G25" s="133">
        <f>FLOOR($C25*G$16,1)</f>
        <v/>
      </c>
      <c r="H25" s="133">
        <f>FLOOR($C25*H$16,1)</f>
        <v/>
      </c>
      <c r="I25" s="133">
        <f>FLOOR($C25*I$16,1)</f>
        <v/>
      </c>
      <c r="J25" s="134">
        <f>D25&amp;" ~ "&amp;I25</f>
        <v/>
      </c>
    </row>
    <row r="26" ht="16" customHeight="1">
      <c r="A26" s="100" t="inlineStr"/>
      <c r="B26" s="129" t="inlineStr">
        <is>
          <t>T7</t>
        </is>
      </c>
      <c r="C26" s="130" t="n">
        <v>480</v>
      </c>
      <c r="D26" s="130">
        <f>FLOOR($C26*D$16,1)</f>
        <v/>
      </c>
      <c r="E26" s="130">
        <f>FLOOR($C26*E$16,1)</f>
        <v/>
      </c>
      <c r="F26" s="130">
        <f>FLOOR($C26*F$16,1)</f>
        <v/>
      </c>
      <c r="G26" s="130">
        <f>FLOOR($C26*G$16,1)</f>
        <v/>
      </c>
      <c r="H26" s="130">
        <f>FLOOR($C26*H$16,1)</f>
        <v/>
      </c>
      <c r="I26" s="130">
        <f>FLOOR($C26*I$16,1)</f>
        <v/>
      </c>
      <c r="J26" s="131">
        <f>D26&amp;" ~ "&amp;I26</f>
        <v/>
      </c>
    </row>
    <row r="27" ht="10" customHeight="1">
      <c r="A27" s="87" t="n"/>
      <c r="B27" s="87" t="n"/>
      <c r="C27" s="87" t="n"/>
      <c r="D27" s="87" t="n"/>
      <c r="E27" s="87" t="n"/>
      <c r="F27" s="87" t="n"/>
      <c r="G27" s="87" t="n"/>
      <c r="H27" s="87" t="n"/>
      <c r="I27" s="87" t="n"/>
      <c r="J27" s="87" t="n"/>
    </row>
    <row r="28" ht="22" customHeight="1">
      <c r="A28" s="128" t="inlineStr">
        <is>
          <t xml:space="preserve">  💍 반지 — AddAttackVary (T3~T7, ×2 슬롯)</t>
        </is>
      </c>
    </row>
    <row r="29" ht="18" customHeight="1">
      <c r="A29" s="122" t="inlineStr"/>
      <c r="B29" s="122" t="inlineStr">
        <is>
          <t>티어</t>
        </is>
      </c>
      <c r="C29" s="122" t="inlineStr">
        <is>
          <t>베이스 ATK</t>
        </is>
      </c>
      <c r="D29" s="122" t="inlineStr">
        <is>
          <t>옵션1</t>
        </is>
      </c>
      <c r="E29" s="122" t="inlineStr">
        <is>
          <t>옵션2</t>
        </is>
      </c>
      <c r="F29" s="122" t="inlineStr">
        <is>
          <t>옵션3</t>
        </is>
      </c>
      <c r="G29" s="122" t="inlineStr">
        <is>
          <t>옵션4</t>
        </is>
      </c>
      <c r="H29" s="122" t="inlineStr">
        <is>
          <t>옵션5</t>
        </is>
      </c>
      <c r="I29" s="122" t="inlineStr">
        <is>
          <t>옵션6</t>
        </is>
      </c>
      <c r="J29" s="122" t="inlineStr">
        <is>
          <t>범위</t>
        </is>
      </c>
    </row>
    <row r="30" ht="16" customHeight="1">
      <c r="A30" s="100" t="inlineStr"/>
      <c r="B30" s="129" t="inlineStr">
        <is>
          <t>T3</t>
        </is>
      </c>
      <c r="C30" s="130" t="n">
        <v>30</v>
      </c>
      <c r="D30" s="130">
        <f>FLOOR($C30*D$16,1)</f>
        <v/>
      </c>
      <c r="E30" s="130">
        <f>FLOOR($C30*E$16,1)</f>
        <v/>
      </c>
      <c r="F30" s="130">
        <f>FLOOR($C30*F$16,1)</f>
        <v/>
      </c>
      <c r="G30" s="130">
        <f>FLOOR($C30*G$16,1)</f>
        <v/>
      </c>
      <c r="H30" s="130">
        <f>FLOOR($C30*H$16,1)</f>
        <v/>
      </c>
      <c r="I30" s="130">
        <f>FLOOR($C30*I$16,1)</f>
        <v/>
      </c>
      <c r="J30" s="131">
        <f>D30&amp;" ~ "&amp;I30</f>
        <v/>
      </c>
    </row>
    <row r="31" ht="16" customHeight="1">
      <c r="A31" s="104" t="inlineStr"/>
      <c r="B31" s="132" t="inlineStr">
        <is>
          <t>T4</t>
        </is>
      </c>
      <c r="C31" s="133" t="n">
        <v>45</v>
      </c>
      <c r="D31" s="133">
        <f>FLOOR($C31*D$16,1)</f>
        <v/>
      </c>
      <c r="E31" s="133">
        <f>FLOOR($C31*E$16,1)</f>
        <v/>
      </c>
      <c r="F31" s="133">
        <f>FLOOR($C31*F$16,1)</f>
        <v/>
      </c>
      <c r="G31" s="133">
        <f>FLOOR($C31*G$16,1)</f>
        <v/>
      </c>
      <c r="H31" s="133">
        <f>FLOOR($C31*H$16,1)</f>
        <v/>
      </c>
      <c r="I31" s="133">
        <f>FLOOR($C31*I$16,1)</f>
        <v/>
      </c>
      <c r="J31" s="134">
        <f>D31&amp;" ~ "&amp;I31</f>
        <v/>
      </c>
    </row>
    <row r="32" ht="16" customHeight="1">
      <c r="A32" s="100" t="inlineStr"/>
      <c r="B32" s="129" t="inlineStr">
        <is>
          <t>T5</t>
        </is>
      </c>
      <c r="C32" s="130" t="n">
        <v>65</v>
      </c>
      <c r="D32" s="130">
        <f>FLOOR($C32*D$16,1)</f>
        <v/>
      </c>
      <c r="E32" s="130">
        <f>FLOOR($C32*E$16,1)</f>
        <v/>
      </c>
      <c r="F32" s="130">
        <f>FLOOR($C32*F$16,1)</f>
        <v/>
      </c>
      <c r="G32" s="130">
        <f>FLOOR($C32*G$16,1)</f>
        <v/>
      </c>
      <c r="H32" s="130">
        <f>FLOOR($C32*H$16,1)</f>
        <v/>
      </c>
      <c r="I32" s="130">
        <f>FLOOR($C32*I$16,1)</f>
        <v/>
      </c>
      <c r="J32" s="131">
        <f>D32&amp;" ~ "&amp;I32</f>
        <v/>
      </c>
    </row>
    <row r="33" ht="16" customHeight="1">
      <c r="A33" s="104" t="inlineStr"/>
      <c r="B33" s="132" t="inlineStr">
        <is>
          <t>T6</t>
        </is>
      </c>
      <c r="C33" s="133" t="n">
        <v>90</v>
      </c>
      <c r="D33" s="133">
        <f>FLOOR($C33*D$16,1)</f>
        <v/>
      </c>
      <c r="E33" s="133">
        <f>FLOOR($C33*E$16,1)</f>
        <v/>
      </c>
      <c r="F33" s="133">
        <f>FLOOR($C33*F$16,1)</f>
        <v/>
      </c>
      <c r="G33" s="133">
        <f>FLOOR($C33*G$16,1)</f>
        <v/>
      </c>
      <c r="H33" s="133">
        <f>FLOOR($C33*H$16,1)</f>
        <v/>
      </c>
      <c r="I33" s="133">
        <f>FLOOR($C33*I$16,1)</f>
        <v/>
      </c>
      <c r="J33" s="134">
        <f>D33&amp;" ~ "&amp;I33</f>
        <v/>
      </c>
    </row>
    <row r="34" ht="16" customHeight="1">
      <c r="A34" s="100" t="inlineStr"/>
      <c r="B34" s="129" t="inlineStr">
        <is>
          <t>T7</t>
        </is>
      </c>
      <c r="C34" s="130" t="n">
        <v>120</v>
      </c>
      <c r="D34" s="130">
        <f>FLOOR($C34*D$16,1)</f>
        <v/>
      </c>
      <c r="E34" s="130">
        <f>FLOOR($C34*E$16,1)</f>
        <v/>
      </c>
      <c r="F34" s="130">
        <f>FLOOR($C34*F$16,1)</f>
        <v/>
      </c>
      <c r="G34" s="130">
        <f>FLOOR($C34*G$16,1)</f>
        <v/>
      </c>
      <c r="H34" s="130">
        <f>FLOOR($C34*H$16,1)</f>
        <v/>
      </c>
      <c r="I34" s="130">
        <f>FLOOR($C34*I$16,1)</f>
        <v/>
      </c>
      <c r="J34" s="131">
        <f>D34&amp;" ~ "&amp;I34</f>
        <v/>
      </c>
    </row>
    <row r="35" ht="10" customHeight="1">
      <c r="A35" s="87" t="n"/>
      <c r="B35" s="87" t="n"/>
      <c r="C35" s="87" t="n"/>
      <c r="D35" s="87" t="n"/>
      <c r="E35" s="87" t="n"/>
      <c r="F35" s="87" t="n"/>
      <c r="G35" s="87" t="n"/>
      <c r="H35" s="87" t="n"/>
      <c r="I35" s="87" t="n"/>
      <c r="J35" s="87" t="n"/>
    </row>
    <row r="36" ht="22" customHeight="1">
      <c r="A36" s="128" t="inlineStr">
        <is>
          <t xml:space="preserve">  🛡 방어구 — AddPhysicalDefenseVary (T1~T7)</t>
        </is>
      </c>
    </row>
    <row r="37" ht="18" customHeight="1">
      <c r="A37" s="122" t="inlineStr"/>
      <c r="B37" s="122" t="inlineStr">
        <is>
          <t>티어</t>
        </is>
      </c>
      <c r="C37" s="122" t="inlineStr">
        <is>
          <t>베이스 DEF</t>
        </is>
      </c>
      <c r="D37" s="122" t="inlineStr">
        <is>
          <t>옵션1</t>
        </is>
      </c>
      <c r="E37" s="122" t="inlineStr">
        <is>
          <t>옵션2</t>
        </is>
      </c>
      <c r="F37" s="122" t="inlineStr">
        <is>
          <t>옵션3</t>
        </is>
      </c>
      <c r="G37" s="122" t="inlineStr">
        <is>
          <t>옵션4</t>
        </is>
      </c>
      <c r="H37" s="122" t="inlineStr">
        <is>
          <t>옵션5</t>
        </is>
      </c>
      <c r="I37" s="122" t="inlineStr">
        <is>
          <t>옵션6</t>
        </is>
      </c>
      <c r="J37" s="122" t="inlineStr">
        <is>
          <t>범위</t>
        </is>
      </c>
    </row>
    <row r="38" ht="16" customHeight="1">
      <c r="A38" s="100" t="inlineStr"/>
      <c r="B38" s="129" t="inlineStr">
        <is>
          <t>T1</t>
        </is>
      </c>
      <c r="C38" s="130" t="n">
        <v>30</v>
      </c>
      <c r="D38" s="130">
        <f>FLOOR($C38*D$16,1)</f>
        <v/>
      </c>
      <c r="E38" s="130">
        <f>FLOOR($C38*E$16,1)</f>
        <v/>
      </c>
      <c r="F38" s="130">
        <f>FLOOR($C38*F$16,1)</f>
        <v/>
      </c>
      <c r="G38" s="130">
        <f>FLOOR($C38*G$16,1)</f>
        <v/>
      </c>
      <c r="H38" s="130">
        <f>FLOOR($C38*H$16,1)</f>
        <v/>
      </c>
      <c r="I38" s="130">
        <f>FLOOR($C38*I$16,1)</f>
        <v/>
      </c>
      <c r="J38" s="131">
        <f>D38&amp;" ~ "&amp;I38</f>
        <v/>
      </c>
    </row>
    <row r="39" ht="16" customHeight="1">
      <c r="A39" s="104" t="inlineStr"/>
      <c r="B39" s="132" t="inlineStr">
        <is>
          <t>T2</t>
        </is>
      </c>
      <c r="C39" s="133" t="n">
        <v>40</v>
      </c>
      <c r="D39" s="133">
        <f>FLOOR($C39*D$16,1)</f>
        <v/>
      </c>
      <c r="E39" s="133">
        <f>FLOOR($C39*E$16,1)</f>
        <v/>
      </c>
      <c r="F39" s="133">
        <f>FLOOR($C39*F$16,1)</f>
        <v/>
      </c>
      <c r="G39" s="133">
        <f>FLOOR($C39*G$16,1)</f>
        <v/>
      </c>
      <c r="H39" s="133">
        <f>FLOOR($C39*H$16,1)</f>
        <v/>
      </c>
      <c r="I39" s="133">
        <f>FLOOR($C39*I$16,1)</f>
        <v/>
      </c>
      <c r="J39" s="134">
        <f>D39&amp;" ~ "&amp;I39</f>
        <v/>
      </c>
    </row>
    <row r="40" ht="16" customHeight="1">
      <c r="A40" s="100" t="inlineStr"/>
      <c r="B40" s="129" t="inlineStr">
        <is>
          <t>T3</t>
        </is>
      </c>
      <c r="C40" s="130" t="n">
        <v>60</v>
      </c>
      <c r="D40" s="130">
        <f>FLOOR($C40*D$16,1)</f>
        <v/>
      </c>
      <c r="E40" s="130">
        <f>FLOOR($C40*E$16,1)</f>
        <v/>
      </c>
      <c r="F40" s="130">
        <f>FLOOR($C40*F$16,1)</f>
        <v/>
      </c>
      <c r="G40" s="130">
        <f>FLOOR($C40*G$16,1)</f>
        <v/>
      </c>
      <c r="H40" s="130">
        <f>FLOOR($C40*H$16,1)</f>
        <v/>
      </c>
      <c r="I40" s="130">
        <f>FLOOR($C40*I$16,1)</f>
        <v/>
      </c>
      <c r="J40" s="131">
        <f>D40&amp;" ~ "&amp;I40</f>
        <v/>
      </c>
    </row>
    <row r="41" ht="16" customHeight="1">
      <c r="A41" s="104" t="inlineStr"/>
      <c r="B41" s="132" t="inlineStr">
        <is>
          <t>T4</t>
        </is>
      </c>
      <c r="C41" s="133" t="n">
        <v>90</v>
      </c>
      <c r="D41" s="133">
        <f>FLOOR($C41*D$16,1)</f>
        <v/>
      </c>
      <c r="E41" s="133">
        <f>FLOOR($C41*E$16,1)</f>
        <v/>
      </c>
      <c r="F41" s="133">
        <f>FLOOR($C41*F$16,1)</f>
        <v/>
      </c>
      <c r="G41" s="133">
        <f>FLOOR($C41*G$16,1)</f>
        <v/>
      </c>
      <c r="H41" s="133">
        <f>FLOOR($C41*H$16,1)</f>
        <v/>
      </c>
      <c r="I41" s="133">
        <f>FLOOR($C41*I$16,1)</f>
        <v/>
      </c>
      <c r="J41" s="134">
        <f>D41&amp;" ~ "&amp;I41</f>
        <v/>
      </c>
    </row>
    <row r="42" ht="16" customHeight="1">
      <c r="A42" s="100" t="inlineStr"/>
      <c r="B42" s="129" t="inlineStr">
        <is>
          <t>T5</t>
        </is>
      </c>
      <c r="C42" s="130" t="n">
        <v>130</v>
      </c>
      <c r="D42" s="130">
        <f>FLOOR($C42*D$16,1)</f>
        <v/>
      </c>
      <c r="E42" s="130">
        <f>FLOOR($C42*E$16,1)</f>
        <v/>
      </c>
      <c r="F42" s="130">
        <f>FLOOR($C42*F$16,1)</f>
        <v/>
      </c>
      <c r="G42" s="130">
        <f>FLOOR($C42*G$16,1)</f>
        <v/>
      </c>
      <c r="H42" s="130">
        <f>FLOOR($C42*H$16,1)</f>
        <v/>
      </c>
      <c r="I42" s="130">
        <f>FLOOR($C42*I$16,1)</f>
        <v/>
      </c>
      <c r="J42" s="131">
        <f>D42&amp;" ~ "&amp;I42</f>
        <v/>
      </c>
    </row>
    <row r="43" ht="16" customHeight="1">
      <c r="A43" s="104" t="inlineStr"/>
      <c r="B43" s="132" t="inlineStr">
        <is>
          <t>T6</t>
        </is>
      </c>
      <c r="C43" s="133" t="n">
        <v>180</v>
      </c>
      <c r="D43" s="133">
        <f>FLOOR($C43*D$16,1)</f>
        <v/>
      </c>
      <c r="E43" s="133">
        <f>FLOOR($C43*E$16,1)</f>
        <v/>
      </c>
      <c r="F43" s="133">
        <f>FLOOR($C43*F$16,1)</f>
        <v/>
      </c>
      <c r="G43" s="133">
        <f>FLOOR($C43*G$16,1)</f>
        <v/>
      </c>
      <c r="H43" s="133">
        <f>FLOOR($C43*H$16,1)</f>
        <v/>
      </c>
      <c r="I43" s="133">
        <f>FLOOR($C43*I$16,1)</f>
        <v/>
      </c>
      <c r="J43" s="134">
        <f>D43&amp;" ~ "&amp;I43</f>
        <v/>
      </c>
    </row>
    <row r="44" ht="16" customHeight="1">
      <c r="A44" s="100" t="inlineStr"/>
      <c r="B44" s="129" t="inlineStr">
        <is>
          <t>T7</t>
        </is>
      </c>
      <c r="C44" s="130" t="n">
        <v>240</v>
      </c>
      <c r="D44" s="130">
        <f>FLOOR($C44*D$16,1)</f>
        <v/>
      </c>
      <c r="E44" s="130">
        <f>FLOOR($C44*E$16,1)</f>
        <v/>
      </c>
      <c r="F44" s="130">
        <f>FLOOR($C44*F$16,1)</f>
        <v/>
      </c>
      <c r="G44" s="130">
        <f>FLOOR($C44*G$16,1)</f>
        <v/>
      </c>
      <c r="H44" s="130">
        <f>FLOOR($C44*H$16,1)</f>
        <v/>
      </c>
      <c r="I44" s="130">
        <f>FLOOR($C44*I$16,1)</f>
        <v/>
      </c>
      <c r="J44" s="131">
        <f>D44&amp;" ~ "&amp;I44</f>
        <v/>
      </c>
    </row>
    <row r="45" ht="10" customHeight="1">
      <c r="A45" s="87" t="n"/>
      <c r="B45" s="87" t="n"/>
      <c r="C45" s="87" t="n"/>
      <c r="D45" s="87" t="n"/>
      <c r="E45" s="87" t="n"/>
      <c r="F45" s="87" t="n"/>
      <c r="G45" s="87" t="n"/>
      <c r="H45" s="87" t="n"/>
      <c r="I45" s="87" t="n"/>
      <c r="J45" s="87" t="n"/>
    </row>
    <row r="46" ht="22" customHeight="1">
      <c r="A46" s="128" t="inlineStr">
        <is>
          <t xml:space="preserve">  📿 목걸이 — AddPhysicalDefenseVary (T3~T7)</t>
        </is>
      </c>
    </row>
    <row r="47" ht="18" customHeight="1">
      <c r="A47" s="122" t="inlineStr"/>
      <c r="B47" s="122" t="inlineStr">
        <is>
          <t>티어</t>
        </is>
      </c>
      <c r="C47" s="122" t="inlineStr">
        <is>
          <t>베이스 DEF</t>
        </is>
      </c>
      <c r="D47" s="122" t="inlineStr">
        <is>
          <t>옵션1</t>
        </is>
      </c>
      <c r="E47" s="122" t="inlineStr">
        <is>
          <t>옵션2</t>
        </is>
      </c>
      <c r="F47" s="122" t="inlineStr">
        <is>
          <t>옵션3</t>
        </is>
      </c>
      <c r="G47" s="122" t="inlineStr">
        <is>
          <t>옵션4</t>
        </is>
      </c>
      <c r="H47" s="122" t="inlineStr">
        <is>
          <t>옵션5</t>
        </is>
      </c>
      <c r="I47" s="122" t="inlineStr">
        <is>
          <t>옵션6</t>
        </is>
      </c>
      <c r="J47" s="122" t="inlineStr">
        <is>
          <t>범위</t>
        </is>
      </c>
    </row>
    <row r="48" ht="16" customHeight="1">
      <c r="A48" s="100" t="inlineStr"/>
      <c r="B48" s="129" t="inlineStr">
        <is>
          <t>T3</t>
        </is>
      </c>
      <c r="C48" s="130" t="n">
        <v>60</v>
      </c>
      <c r="D48" s="130">
        <f>FLOOR($C48*D$16,1)</f>
        <v/>
      </c>
      <c r="E48" s="130">
        <f>FLOOR($C48*E$16,1)</f>
        <v/>
      </c>
      <c r="F48" s="130">
        <f>FLOOR($C48*F$16,1)</f>
        <v/>
      </c>
      <c r="G48" s="130">
        <f>FLOOR($C48*G$16,1)</f>
        <v/>
      </c>
      <c r="H48" s="130">
        <f>FLOOR($C48*H$16,1)</f>
        <v/>
      </c>
      <c r="I48" s="130">
        <f>FLOOR($C48*I$16,1)</f>
        <v/>
      </c>
      <c r="J48" s="131">
        <f>D48&amp;" ~ "&amp;I48</f>
        <v/>
      </c>
    </row>
    <row r="49" ht="16" customHeight="1">
      <c r="A49" s="104" t="inlineStr"/>
      <c r="B49" s="132" t="inlineStr">
        <is>
          <t>T4</t>
        </is>
      </c>
      <c r="C49" s="133" t="n">
        <v>90</v>
      </c>
      <c r="D49" s="133">
        <f>FLOOR($C49*D$16,1)</f>
        <v/>
      </c>
      <c r="E49" s="133">
        <f>FLOOR($C49*E$16,1)</f>
        <v/>
      </c>
      <c r="F49" s="133">
        <f>FLOOR($C49*F$16,1)</f>
        <v/>
      </c>
      <c r="G49" s="133">
        <f>FLOOR($C49*G$16,1)</f>
        <v/>
      </c>
      <c r="H49" s="133">
        <f>FLOOR($C49*H$16,1)</f>
        <v/>
      </c>
      <c r="I49" s="133">
        <f>FLOOR($C49*I$16,1)</f>
        <v/>
      </c>
      <c r="J49" s="134">
        <f>D49&amp;" ~ "&amp;I49</f>
        <v/>
      </c>
    </row>
    <row r="50" ht="16" customHeight="1">
      <c r="A50" s="100" t="inlineStr"/>
      <c r="B50" s="129" t="inlineStr">
        <is>
          <t>T5</t>
        </is>
      </c>
      <c r="C50" s="130" t="n">
        <v>130</v>
      </c>
      <c r="D50" s="130">
        <f>FLOOR($C50*D$16,1)</f>
        <v/>
      </c>
      <c r="E50" s="130">
        <f>FLOOR($C50*E$16,1)</f>
        <v/>
      </c>
      <c r="F50" s="130">
        <f>FLOOR($C50*F$16,1)</f>
        <v/>
      </c>
      <c r="G50" s="130">
        <f>FLOOR($C50*G$16,1)</f>
        <v/>
      </c>
      <c r="H50" s="130">
        <f>FLOOR($C50*H$16,1)</f>
        <v/>
      </c>
      <c r="I50" s="130">
        <f>FLOOR($C50*I$16,1)</f>
        <v/>
      </c>
      <c r="J50" s="131">
        <f>D50&amp;" ~ "&amp;I50</f>
        <v/>
      </c>
    </row>
    <row r="51" ht="16" customHeight="1">
      <c r="A51" s="104" t="inlineStr"/>
      <c r="B51" s="132" t="inlineStr">
        <is>
          <t>T6</t>
        </is>
      </c>
      <c r="C51" s="133" t="n">
        <v>180</v>
      </c>
      <c r="D51" s="133">
        <f>FLOOR($C51*D$16,1)</f>
        <v/>
      </c>
      <c r="E51" s="133">
        <f>FLOOR($C51*E$16,1)</f>
        <v/>
      </c>
      <c r="F51" s="133">
        <f>FLOOR($C51*F$16,1)</f>
        <v/>
      </c>
      <c r="G51" s="133">
        <f>FLOOR($C51*G$16,1)</f>
        <v/>
      </c>
      <c r="H51" s="133">
        <f>FLOOR($C51*H$16,1)</f>
        <v/>
      </c>
      <c r="I51" s="133">
        <f>FLOOR($C51*I$16,1)</f>
        <v/>
      </c>
      <c r="J51" s="134">
        <f>D51&amp;" ~ "&amp;I51</f>
        <v/>
      </c>
    </row>
    <row r="52" ht="16" customHeight="1">
      <c r="A52" s="100" t="inlineStr"/>
      <c r="B52" s="129" t="inlineStr">
        <is>
          <t>T7</t>
        </is>
      </c>
      <c r="C52" s="130" t="n">
        <v>240</v>
      </c>
      <c r="D52" s="130">
        <f>FLOOR($C52*D$16,1)</f>
        <v/>
      </c>
      <c r="E52" s="130">
        <f>FLOOR($C52*E$16,1)</f>
        <v/>
      </c>
      <c r="F52" s="130">
        <f>FLOOR($C52*F$16,1)</f>
        <v/>
      </c>
      <c r="G52" s="130">
        <f>FLOOR($C52*G$16,1)</f>
        <v/>
      </c>
      <c r="H52" s="130">
        <f>FLOOR($C52*H$16,1)</f>
        <v/>
      </c>
      <c r="I52" s="130">
        <f>FLOOR($C52*I$16,1)</f>
        <v/>
      </c>
      <c r="J52" s="131">
        <f>D52&amp;" ~ "&amp;I52</f>
        <v/>
      </c>
    </row>
    <row r="53" ht="10" customHeight="1">
      <c r="A53" s="87" t="n"/>
      <c r="B53" s="87" t="n"/>
      <c r="C53" s="87" t="n"/>
      <c r="D53" s="87" t="n"/>
      <c r="E53" s="87" t="n"/>
      <c r="F53" s="87" t="n"/>
      <c r="G53" s="87" t="n"/>
      <c r="H53" s="87" t="n"/>
      <c r="I53" s="87" t="n"/>
      <c r="J53" s="87" t="n"/>
    </row>
    <row r="54" ht="22" customHeight="1">
      <c r="A54" s="128" t="inlineStr">
        <is>
          <t xml:space="preserve">  👂 귀걸이 — AddPhysicalDefenseVary (T3~T7)</t>
        </is>
      </c>
    </row>
    <row r="55" ht="18" customHeight="1">
      <c r="A55" s="122" t="inlineStr"/>
      <c r="B55" s="122" t="inlineStr">
        <is>
          <t>티어</t>
        </is>
      </c>
      <c r="C55" s="122" t="inlineStr">
        <is>
          <t>베이스 DEF</t>
        </is>
      </c>
      <c r="D55" s="122" t="inlineStr">
        <is>
          <t>옵션1</t>
        </is>
      </c>
      <c r="E55" s="122" t="inlineStr">
        <is>
          <t>옵션2</t>
        </is>
      </c>
      <c r="F55" s="122" t="inlineStr">
        <is>
          <t>옵션3</t>
        </is>
      </c>
      <c r="G55" s="122" t="inlineStr">
        <is>
          <t>옵션4</t>
        </is>
      </c>
      <c r="H55" s="122" t="inlineStr">
        <is>
          <t>옵션5</t>
        </is>
      </c>
      <c r="I55" s="122" t="inlineStr">
        <is>
          <t>옵션6</t>
        </is>
      </c>
      <c r="J55" s="122" t="inlineStr">
        <is>
          <t>범위</t>
        </is>
      </c>
    </row>
    <row r="56" ht="16" customHeight="1">
      <c r="A56" s="100" t="inlineStr"/>
      <c r="B56" s="129" t="inlineStr">
        <is>
          <t>T3</t>
        </is>
      </c>
      <c r="C56" s="130" t="n">
        <v>60</v>
      </c>
      <c r="D56" s="130">
        <f>FLOOR($C56*D$16,1)</f>
        <v/>
      </c>
      <c r="E56" s="130">
        <f>FLOOR($C56*E$16,1)</f>
        <v/>
      </c>
      <c r="F56" s="130">
        <f>FLOOR($C56*F$16,1)</f>
        <v/>
      </c>
      <c r="G56" s="130">
        <f>FLOOR($C56*G$16,1)</f>
        <v/>
      </c>
      <c r="H56" s="130">
        <f>FLOOR($C56*H$16,1)</f>
        <v/>
      </c>
      <c r="I56" s="130">
        <f>FLOOR($C56*I$16,1)</f>
        <v/>
      </c>
      <c r="J56" s="131">
        <f>D56&amp;" ~ "&amp;I56</f>
        <v/>
      </c>
    </row>
    <row r="57" ht="16" customHeight="1">
      <c r="A57" s="104" t="inlineStr"/>
      <c r="B57" s="132" t="inlineStr">
        <is>
          <t>T4</t>
        </is>
      </c>
      <c r="C57" s="133" t="n">
        <v>90</v>
      </c>
      <c r="D57" s="133">
        <f>FLOOR($C57*D$16,1)</f>
        <v/>
      </c>
      <c r="E57" s="133">
        <f>FLOOR($C57*E$16,1)</f>
        <v/>
      </c>
      <c r="F57" s="133">
        <f>FLOOR($C57*F$16,1)</f>
        <v/>
      </c>
      <c r="G57" s="133">
        <f>FLOOR($C57*G$16,1)</f>
        <v/>
      </c>
      <c r="H57" s="133">
        <f>FLOOR($C57*H$16,1)</f>
        <v/>
      </c>
      <c r="I57" s="133">
        <f>FLOOR($C57*I$16,1)</f>
        <v/>
      </c>
      <c r="J57" s="134">
        <f>D57&amp;" ~ "&amp;I57</f>
        <v/>
      </c>
    </row>
    <row r="58" ht="16" customHeight="1">
      <c r="A58" s="100" t="inlineStr"/>
      <c r="B58" s="129" t="inlineStr">
        <is>
          <t>T5</t>
        </is>
      </c>
      <c r="C58" s="130" t="n">
        <v>130</v>
      </c>
      <c r="D58" s="130">
        <f>FLOOR($C58*D$16,1)</f>
        <v/>
      </c>
      <c r="E58" s="130">
        <f>FLOOR($C58*E$16,1)</f>
        <v/>
      </c>
      <c r="F58" s="130">
        <f>FLOOR($C58*F$16,1)</f>
        <v/>
      </c>
      <c r="G58" s="130">
        <f>FLOOR($C58*G$16,1)</f>
        <v/>
      </c>
      <c r="H58" s="130">
        <f>FLOOR($C58*H$16,1)</f>
        <v/>
      </c>
      <c r="I58" s="130">
        <f>FLOOR($C58*I$16,1)</f>
        <v/>
      </c>
      <c r="J58" s="131">
        <f>D58&amp;" ~ "&amp;I58</f>
        <v/>
      </c>
    </row>
    <row r="59" ht="16" customHeight="1">
      <c r="A59" s="104" t="inlineStr"/>
      <c r="B59" s="132" t="inlineStr">
        <is>
          <t>T6</t>
        </is>
      </c>
      <c r="C59" s="133" t="n">
        <v>180</v>
      </c>
      <c r="D59" s="133">
        <f>FLOOR($C59*D$16,1)</f>
        <v/>
      </c>
      <c r="E59" s="133">
        <f>FLOOR($C59*E$16,1)</f>
        <v/>
      </c>
      <c r="F59" s="133">
        <f>FLOOR($C59*F$16,1)</f>
        <v/>
      </c>
      <c r="G59" s="133">
        <f>FLOOR($C59*G$16,1)</f>
        <v/>
      </c>
      <c r="H59" s="133">
        <f>FLOOR($C59*H$16,1)</f>
        <v/>
      </c>
      <c r="I59" s="133">
        <f>FLOOR($C59*I$16,1)</f>
        <v/>
      </c>
      <c r="J59" s="134">
        <f>D59&amp;" ~ "&amp;I59</f>
        <v/>
      </c>
    </row>
    <row r="60" ht="16" customHeight="1">
      <c r="A60" s="100" t="inlineStr"/>
      <c r="B60" s="129" t="inlineStr">
        <is>
          <t>T7</t>
        </is>
      </c>
      <c r="C60" s="130" t="n">
        <v>240</v>
      </c>
      <c r="D60" s="130">
        <f>FLOOR($C60*D$16,1)</f>
        <v/>
      </c>
      <c r="E60" s="130">
        <f>FLOOR($C60*E$16,1)</f>
        <v/>
      </c>
      <c r="F60" s="130">
        <f>FLOOR($C60*F$16,1)</f>
        <v/>
      </c>
      <c r="G60" s="130">
        <f>FLOOR($C60*G$16,1)</f>
        <v/>
      </c>
      <c r="H60" s="130">
        <f>FLOOR($C60*H$16,1)</f>
        <v/>
      </c>
      <c r="I60" s="130">
        <f>FLOOR($C60*I$16,1)</f>
        <v/>
      </c>
      <c r="J60" s="131">
        <f>D60&amp;" ~ "&amp;I60</f>
        <v/>
      </c>
    </row>
    <row r="61" ht="14" customHeight="1">
      <c r="A61" s="87" t="n"/>
      <c r="B61" s="87" t="n"/>
      <c r="C61" s="87" t="n"/>
      <c r="D61" s="87" t="n"/>
      <c r="E61" s="87" t="n"/>
      <c r="F61" s="87" t="n"/>
      <c r="G61" s="87" t="n"/>
      <c r="H61" s="87" t="n"/>
      <c r="I61" s="87" t="n"/>
      <c r="J61" s="87" t="n"/>
    </row>
    <row r="62" ht="10" customHeight="1">
      <c r="A62" s="87" t="n"/>
      <c r="B62" s="87" t="n"/>
      <c r="C62" s="87" t="n"/>
      <c r="D62" s="87" t="n"/>
      <c r="E62" s="87" t="n"/>
      <c r="F62" s="87" t="n"/>
      <c r="G62" s="87" t="n"/>
      <c r="H62" s="87" t="n"/>
      <c r="I62" s="87" t="n"/>
      <c r="J62" s="87" t="n"/>
    </row>
    <row r="63" ht="22" customHeight="1">
      <c r="A63" s="128" t="inlineStr">
        <is>
          <t xml:space="preserve">  📊 슬롯별 옵션 범위 요약 (최솟값 ~ 최댓값, 5%~10% 기준)</t>
        </is>
      </c>
    </row>
    <row r="64" ht="16" customHeight="1">
      <c r="A64" s="122" t="inlineStr"/>
      <c r="B64" s="122" t="inlineStr">
        <is>
          <t>슬롯 / 능력치</t>
        </is>
      </c>
      <c r="C64" s="122" t="inlineStr">
        <is>
          <t>T1</t>
        </is>
      </c>
      <c r="D64" s="122" t="inlineStr">
        <is>
          <t>T2</t>
        </is>
      </c>
      <c r="E64" s="122" t="inlineStr">
        <is>
          <t>T3</t>
        </is>
      </c>
      <c r="F64" s="122" t="inlineStr">
        <is>
          <t>T4</t>
        </is>
      </c>
      <c r="G64" s="122" t="inlineStr">
        <is>
          <t>T5</t>
        </is>
      </c>
      <c r="H64" s="122" t="inlineStr">
        <is>
          <t>T6</t>
        </is>
      </c>
      <c r="I64" s="122" t="inlineStr">
        <is>
          <t>T7</t>
        </is>
      </c>
      <c r="J64" s="122" t="inlineStr"/>
    </row>
    <row r="65" ht="16" customHeight="1">
      <c r="A65" s="100" t="inlineStr"/>
      <c r="B65" s="135" t="inlineStr">
        <is>
          <t>무기 — AddATK</t>
        </is>
      </c>
      <c r="C65" s="136" t="inlineStr">
        <is>
          <t>3 ~ 6</t>
        </is>
      </c>
      <c r="D65" s="136" t="inlineStr">
        <is>
          <t>4 ~ 8</t>
        </is>
      </c>
      <c r="E65" s="136" t="inlineStr">
        <is>
          <t>6 ~ 12</t>
        </is>
      </c>
      <c r="F65" s="136" t="inlineStr">
        <is>
          <t>9 ~ 18</t>
        </is>
      </c>
      <c r="G65" s="136" t="inlineStr">
        <is>
          <t>13 ~ 26</t>
        </is>
      </c>
      <c r="H65" s="136" t="inlineStr">
        <is>
          <t>18 ~ 36</t>
        </is>
      </c>
      <c r="I65" s="136" t="inlineStr">
        <is>
          <t>24 ~ 48</t>
        </is>
      </c>
      <c r="J65" s="100" t="inlineStr"/>
    </row>
    <row r="66" ht="16" customHeight="1">
      <c r="A66" s="104" t="inlineStr"/>
      <c r="B66" s="137" t="inlineStr">
        <is>
          <t>반지 — AddATK</t>
        </is>
      </c>
      <c r="C66" s="138" t="inlineStr">
        <is>
          <t>N/A</t>
        </is>
      </c>
      <c r="D66" s="138" t="inlineStr">
        <is>
          <t>N/A</t>
        </is>
      </c>
      <c r="E66" s="139" t="inlineStr">
        <is>
          <t>1 ~ 3</t>
        </is>
      </c>
      <c r="F66" s="139" t="inlineStr">
        <is>
          <t>2 ~ 4</t>
        </is>
      </c>
      <c r="G66" s="139" t="inlineStr">
        <is>
          <t>3 ~ 6</t>
        </is>
      </c>
      <c r="H66" s="139" t="inlineStr">
        <is>
          <t>4 ~ 9</t>
        </is>
      </c>
      <c r="I66" s="139" t="inlineStr">
        <is>
          <t>6 ~ 12</t>
        </is>
      </c>
      <c r="J66" s="104" t="inlineStr"/>
    </row>
    <row r="67" ht="16" customHeight="1">
      <c r="A67" s="100" t="inlineStr"/>
      <c r="B67" s="135" t="inlineStr">
        <is>
          <t>방어구 — AddDEF</t>
        </is>
      </c>
      <c r="C67" s="136" t="inlineStr">
        <is>
          <t>1 ~ 3</t>
        </is>
      </c>
      <c r="D67" s="136" t="inlineStr">
        <is>
          <t>2 ~ 4</t>
        </is>
      </c>
      <c r="E67" s="136" t="inlineStr">
        <is>
          <t>3 ~ 6</t>
        </is>
      </c>
      <c r="F67" s="136" t="inlineStr">
        <is>
          <t>4 ~ 9</t>
        </is>
      </c>
      <c r="G67" s="136" t="inlineStr">
        <is>
          <t>6 ~ 13</t>
        </is>
      </c>
      <c r="H67" s="136" t="inlineStr">
        <is>
          <t>9 ~ 18</t>
        </is>
      </c>
      <c r="I67" s="136" t="inlineStr">
        <is>
          <t>12 ~ 24</t>
        </is>
      </c>
      <c r="J67" s="100" t="inlineStr"/>
    </row>
    <row r="68" ht="16" customHeight="1">
      <c r="A68" s="104" t="inlineStr"/>
      <c r="B68" s="137" t="inlineStr">
        <is>
          <t>목걸이 — AddDEF</t>
        </is>
      </c>
      <c r="C68" s="138" t="inlineStr">
        <is>
          <t>N/A</t>
        </is>
      </c>
      <c r="D68" s="138" t="inlineStr">
        <is>
          <t>N/A</t>
        </is>
      </c>
      <c r="E68" s="139" t="inlineStr">
        <is>
          <t>3 ~ 6</t>
        </is>
      </c>
      <c r="F68" s="139" t="inlineStr">
        <is>
          <t>4 ~ 9</t>
        </is>
      </c>
      <c r="G68" s="139" t="inlineStr">
        <is>
          <t>6 ~ 13</t>
        </is>
      </c>
      <c r="H68" s="139" t="inlineStr">
        <is>
          <t>9 ~ 18</t>
        </is>
      </c>
      <c r="I68" s="139" t="inlineStr">
        <is>
          <t>12 ~ 24</t>
        </is>
      </c>
      <c r="J68" s="104" t="inlineStr"/>
    </row>
    <row r="69" ht="16" customHeight="1">
      <c r="A69" s="100" t="inlineStr"/>
      <c r="B69" s="135" t="inlineStr">
        <is>
          <t>귀걸이 — AddDEF</t>
        </is>
      </c>
      <c r="C69" s="140" t="inlineStr">
        <is>
          <t>N/A</t>
        </is>
      </c>
      <c r="D69" s="140" t="inlineStr">
        <is>
          <t>N/A</t>
        </is>
      </c>
      <c r="E69" s="136" t="inlineStr">
        <is>
          <t>3 ~ 6</t>
        </is>
      </c>
      <c r="F69" s="136" t="inlineStr">
        <is>
          <t>4 ~ 9</t>
        </is>
      </c>
      <c r="G69" s="136" t="inlineStr">
        <is>
          <t>6 ~ 13</t>
        </is>
      </c>
      <c r="H69" s="136" t="inlineStr">
        <is>
          <t>9 ~ 18</t>
        </is>
      </c>
      <c r="I69" s="136" t="inlineStr">
        <is>
          <t>12 ~ 24</t>
        </is>
      </c>
      <c r="J69" s="100" t="inlineStr"/>
    </row>
  </sheetData>
  <mergeCells count="17">
    <mergeCell ref="A1:J1"/>
    <mergeCell ref="A46:J46"/>
    <mergeCell ref="A5:J5"/>
    <mergeCell ref="A36:J36"/>
    <mergeCell ref="A8:J8"/>
    <mergeCell ref="A6:J6"/>
    <mergeCell ref="A9:J9"/>
    <mergeCell ref="A18:J18"/>
    <mergeCell ref="A3:J3"/>
    <mergeCell ref="A12:J12"/>
    <mergeCell ref="A4:J4"/>
    <mergeCell ref="A7:J7"/>
    <mergeCell ref="A54:J54"/>
    <mergeCell ref="A10:J10"/>
    <mergeCell ref="A28:J28"/>
    <mergeCell ref="A63:J6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2026-03-06T03:13:04Z</dcterms:created>
  <dcterms:modified xmlns:dcterms="http://purl.org/dc/terms/" xmlns:xsi="http://www.w3.org/2001/XMLSchema-instance" xsi:type="dcterms:W3CDTF">2026-03-19T04:41:24Z</dcterms:modified>
</cp:coreProperties>
</file>