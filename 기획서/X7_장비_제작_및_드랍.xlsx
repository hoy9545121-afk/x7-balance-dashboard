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AI_simulator\기획서\"/>
    </mc:Choice>
  </mc:AlternateContent>
  <xr:revisionPtr revIDLastSave="0" documentId="13_ncr:1_{AD8E478D-75E7-41F9-8366-851A97A4F5CE}" xr6:coauthVersionLast="47" xr6:coauthVersionMax="47" xr10:uidLastSave="{00000000-0000-0000-0000-000000000000}"/>
  <bookViews>
    <workbookView xWindow="-28920" yWindow="-1230" windowWidth="29040" windowHeight="15720" tabRatio="500" xr2:uid="{00000000-000D-0000-FFFF-FFFF00000000}"/>
  </bookViews>
  <sheets>
    <sheet name="🗺️ 제작 방식 개요" sheetId="1" r:id="rId1"/>
    <sheet name="📌 기획 의도" sheetId="2" r:id="rId2"/>
    <sheet name="📐 수량 계산 근거" sheetId="3" r:id="rId3"/>
    <sheet name="📋 장비 아이템 리스트" sheetId="4" r:id="rId4"/>
    <sheet name="🗡️ 전리품 제작" sheetId="5" r:id="rId5"/>
    <sheet name="🏰 던전 코어 제작" sheetId="6" r:id="rId6"/>
    <sheet name="🏡 하우징 채집 효과" sheetId="7" r:id="rId7"/>
    <sheet name="📊 채집 시간 기준" sheetId="8" r:id="rId8"/>
    <sheet name="🎲 드랍률 설계" sheetId="9" r:id="rId9"/>
    <sheet name="✅ Craft 수량 반영안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" i="9" l="1"/>
  <c r="E5" i="9"/>
  <c r="H11" i="3"/>
  <c r="H10" i="3"/>
  <c r="H9" i="3"/>
  <c r="H8" i="3"/>
  <c r="H7" i="3"/>
  <c r="H6" i="3"/>
  <c r="H5" i="3"/>
</calcChain>
</file>

<file path=xl/sharedStrings.xml><?xml version="1.0" encoding="utf-8"?>
<sst xmlns="http://schemas.openxmlformats.org/spreadsheetml/2006/main" count="2757" uniqueCount="904">
  <si>
    <t>장비 획득 &amp; 제작 방식 개요</t>
  </si>
  <si>
    <t>각 경로 제목을 클릭하면 해당 밸런스 시트로 이동합니다</t>
  </si>
  <si>
    <t xml:space="preserve">  🔨  기본 제작</t>
  </si>
  <si>
    <t xml:space="preserve">    채집물만으로 기초 장비 제작 — 튜토리얼 구간</t>
  </si>
  <si>
    <t xml:space="preserve">  📦  필요 재료</t>
  </si>
  <si>
    <t>채집물 → 가공물(10:1) → 제작</t>
  </si>
  <si>
    <t xml:space="preserve">      •  T1 전용 제작 경로</t>
  </si>
  <si>
    <t xml:space="preserve">      •  전리품·코어 불필요</t>
  </si>
  <si>
    <t xml:space="preserve">      •  진입 장벽 없음 — 누구나 즉시 가능</t>
  </si>
  <si>
    <t xml:space="preserve">      •  옵션: 단일 패시브 1개 (기초 스탯)</t>
  </si>
  <si>
    <t>→ 상세 보기</t>
  </si>
  <si>
    <t xml:space="preserve">  ⚔️  전리품 제작</t>
  </si>
  <si>
    <t xml:space="preserve">    필드 몬스터 사냥 → 전리품 수집 → 제작</t>
  </si>
  <si>
    <t>전리품(53xx) + 가공물(52xx)</t>
  </si>
  <si>
    <t xml:space="preserve">      •  입장 제한 없음 — 시간 투자할수록 빠름</t>
  </si>
  <si>
    <t xml:space="preserve">      •  T2~T7 전 티어 지원</t>
  </si>
  <si>
    <t xml:space="preserve">      •  드랍률 티어별 차등 → '자주 나온다'는 긍정 체감</t>
  </si>
  <si>
    <t xml:space="preserve">      •  옵션: 패시브 2개 (T2), 패시브 2~3개 (T3+)</t>
  </si>
  <si>
    <t xml:space="preserve">  🏰  던전 코어 제작</t>
  </si>
  <si>
    <t xml:space="preserve">    던전 클리어 → 코어 수집(일 3회 제한) → 제작</t>
  </si>
  <si>
    <t>코어(53xx 0001/0002) + 가공물(52xx)</t>
  </si>
  <si>
    <t xml:space="preserve">      •  100% 확정 드랍 / 3~7개 랜덤(평균 5)</t>
  </si>
  <si>
    <t xml:space="preserve">      •  하루 45분 투자 → 달력상 며칠~100일</t>
  </si>
  <si>
    <t xml:space="preserve">      •  라이트 유저 최적 경로</t>
  </si>
  <si>
    <t xml:space="preserve">      •  옵션: 패시브 2~3개 (T2~T3+)</t>
  </si>
  <si>
    <t xml:space="preserve">  💀  보스 드랍</t>
  </si>
  <si>
    <t xml:space="preserve">    필드/던전 보스 처치 → 완제품 즉시 획득</t>
  </si>
  <si>
    <t>재료 불필요 — 보스 처치만으로 획득</t>
  </si>
  <si>
    <t xml:space="preserve">      •  드랍 확률 0.5~1% — 낮지만 즉시 완성</t>
  </si>
  <si>
    <t xml:space="preserve">      •  운빨 도파민 경로</t>
  </si>
  <si>
    <t xml:space="preserve">      •  T2~T3 신발/아머/헬멧 등 특정 파츠 전용</t>
  </si>
  <si>
    <t xml:space="preserve">      •  옵션: 패시브 2~3개 (최상위 조합 다수)</t>
  </si>
  <si>
    <t xml:space="preserve">  📂  시트 바로가기</t>
  </si>
  <si>
    <t>📌 기획 의도</t>
  </si>
  <si>
    <t>📐 수량 계산 근거</t>
  </si>
  <si>
    <t>🗡️ 전리품 제작</t>
  </si>
  <si>
    <t>🏰 던전 코어</t>
  </si>
  <si>
    <t>🎲 드랍률 설계</t>
  </si>
  <si>
    <t>✅ Craft 반영안</t>
  </si>
  <si>
    <t>📋 아이템 리스트</t>
  </si>
  <si>
    <t>드랍 &amp; 제작 밸런스 기획안  |  장비 획득 시스템 설계 의도</t>
  </si>
  <si>
    <t>🏠 개요로 돌아가기</t>
  </si>
  <si>
    <t>■  전체 설계 철학</t>
  </si>
  <si>
    <t xml:space="preserve">    •  초반(T1~T3)은 빠르게 성장, 중후반(T4+)부터 점진적으로 무게감을 높여 피로감 최소화</t>
  </si>
  <si>
    <t xml:space="preserve">    •  장비 획득 경로 3가지 — 각 경로는 서로 다른 '재미'와 '장점'을 제공하며 보완적 관계</t>
  </si>
  <si>
    <t xml:space="preserve">    •  어떤 방식을 선택해도 불합리하지 않도록 경로 간 밸런스 유지</t>
  </si>
  <si>
    <t>■  전리품 제작 — '시간을 갈아넣으면 빠른' 경로</t>
  </si>
  <si>
    <t xml:space="preserve">    •  필드 사냥으로 전리품을 수집하여 제작 — 입장 제한 없음, 투자 시간에 비례하여 빠르게 달성 가능</t>
  </si>
  <si>
    <t xml:space="preserve">    •  동일 티어 전리품 드랍률 — 티어별 차등 (T2: 8.33% / T4: 1.0% / T7: 0.053%)</t>
  </si>
  <si>
    <t xml:space="preserve">    •  가공물도 함께 요구 → 채집 활동 자연스럽게 병행 유도 / 채집 투자 시간 ≈ 전리품 파밍 시간의 50%</t>
  </si>
  <si>
    <t xml:space="preserve">    •  채집물 10개를 가공하면 가공물 1개 생산 (10 : 1 가공 비율) — 제작에는 가공물이 직접 투입됨</t>
  </si>
  <si>
    <t xml:space="preserve">    •  장점 : 시간 투자에 비례하는 확정 성장 / 하드코어 유저에게 가장 유리한 경로</t>
  </si>
  <si>
    <t>■  던전 코어 제작 — '매일 조금씩 쌓이는' 경로</t>
  </si>
  <si>
    <t xml:space="preserve">    •  던전 클리어 시 코어 100% 확정 드랍 — 드랍 수량 3~7개 랜덤(평균 5개), 일 3회 입장 제한</t>
  </si>
  <si>
    <t xml:space="preserve">    •  1~10 같은 큰 편차 없이 3~7로 좁혀 '운빨'보다 '천장 보장' 성격 강화</t>
  </si>
  <si>
    <t xml:space="preserve">    •  실제 투자 시간은 하루 약 45분(15분 × 3회)으로 짧지만, 달력상 완료까지 며칠~수십 일 소요</t>
  </si>
  <si>
    <t xml:space="preserve">    •  가공물 수량은 전리품 제작과 동일 — 어떤 경로든 채집 부담은 동등하게 설계</t>
  </si>
  <si>
    <t xml:space="preserve">    •  장점 : 시간이 없는 라이트 유저에게 유리 / 꾸준히 접속하면 언젠가 반드시 완성</t>
  </si>
  <si>
    <t>■  보스 드랍 — '운빨 도파민' 경로</t>
  </si>
  <si>
    <t xml:space="preserve">    •  보스 처치 시 0.5~1% 확률로 완성 장비 즉시 드랍 — 제작 과정 없이 바로 획득</t>
  </si>
  <si>
    <t xml:space="preserve">    •  주력 경로가 아닌 '보너스 도파민' 용도 — 예상치 못한 행운으로 강한 즉각적 성취감 제공</t>
  </si>
  <si>
    <t xml:space="preserve">    •  장점 : 랜덤성의 긴장감과 짜릿함 / 운이 좋으면 수 분 만에 장비 완성</t>
  </si>
  <si>
    <t>■  숫자 설계 기준 요약</t>
  </si>
  <si>
    <t xml:space="preserve">    •  사냥 속도 : 분당 10마리 처치 기준</t>
  </si>
  <si>
    <t xml:space="preserve">    •  전리품 드랍률 : 동일 티어 15% / 하위 티어 2%  (드랍 개수 1개 고정 — 확률 높게, 개수 적게)</t>
  </si>
  <si>
    <t xml:space="preserve">    •  채집 : 1회 5초 → 분당 12회 / 채집물 10개 가공 → 가공물 1개 (10 : 1)</t>
  </si>
  <si>
    <t xml:space="preserve">    •  가공물 수량 공식 : 파밍 목표시간(분) × 0.6  →  채집 시간이 정확히 파밍 시간의 50%</t>
  </si>
  <si>
    <t xml:space="preserve">    •  가공물 수량은 전리품 제작 / 코어 제작 구분 없이 동일하게 적용</t>
  </si>
  <si>
    <t xml:space="preserve">    •  던전 : 1회 약 15분 / 일 3회 제한 / 코어 3~7개 랜덤 드랍(평균 5개) / 100% 확정</t>
  </si>
  <si>
    <t>재료 수량 계산 근거 — 전리품 파밍 시간 기준 역산</t>
  </si>
  <si>
    <t>전리품 수량 = 파밍 목표시간(분) × 드랍률(티어별) × 10마리/분  |  가공물 = 채집물 ÷ 10  |  채집물 = 채집소요(초) ÷ 채집1회(티어별)  |  방어구 목표 = 무기 × 0.5</t>
  </si>
  <si>
    <t>티어</t>
  </si>
  <si>
    <t>무기
목표 시간</t>
  </si>
  <si>
    <t>방어구
목표 시간</t>
  </si>
  <si>
    <t>전리품</t>
  </si>
  <si>
    <t>가공물
(채집물 ÷10)</t>
  </si>
  <si>
    <t>채집물
(무기)</t>
  </si>
  <si>
    <t>채집 소요 시간
&amp; 채집 1회 시간</t>
  </si>
  <si>
    <t>무기</t>
  </si>
  <si>
    <t>방어구</t>
  </si>
  <si>
    <t>T1</t>
  </si>
  <si>
    <t>-</t>
  </si>
  <si>
    <t>1.0분  (채집 3.00초/회)</t>
  </si>
  <si>
    <t>T2</t>
  </si>
  <si>
    <t>12분</t>
  </si>
  <si>
    <t>6분</t>
  </si>
  <si>
    <t>6.0분  (채집 1.80초/회)</t>
  </si>
  <si>
    <t>T3</t>
  </si>
  <si>
    <t>1시간</t>
  </si>
  <si>
    <t>30분</t>
  </si>
  <si>
    <t>30.0분  (채집 4.50초/회)</t>
  </si>
  <si>
    <t>T4</t>
  </si>
  <si>
    <t>5시간</t>
  </si>
  <si>
    <t>2.5시간</t>
  </si>
  <si>
    <t>2.5시간  (채집 15.00초/회)</t>
  </si>
  <si>
    <t>T5</t>
  </si>
  <si>
    <t>25시간</t>
  </si>
  <si>
    <t>12.5시간</t>
  </si>
  <si>
    <t>12.5시간  (채집 45.00초/회)</t>
  </si>
  <si>
    <t>T6</t>
  </si>
  <si>
    <t>125시간</t>
  </si>
  <si>
    <t>62.5시간</t>
  </si>
  <si>
    <t>62.5시간  (채집 112.50초/회)</t>
  </si>
  <si>
    <t>T7</t>
  </si>
  <si>
    <t>625시간</t>
  </si>
  <si>
    <t>312.5시간</t>
  </si>
  <si>
    <t>312.5시간  (채집 281.25초/회)</t>
  </si>
  <si>
    <t>※ 모두 1개 파츠 기준
※ 무기는 1개 / 방어구는 4개 파츠 장착 가능</t>
  </si>
  <si>
    <t>■  계산 공식 및 설계 근거</t>
  </si>
  <si>
    <t>전리품 수량 (무기)</t>
  </si>
  <si>
    <t>파밍 목표시간(분) × 드랍률(티어별) × 10마리/분</t>
  </si>
  <si>
    <t>전리품 수량 (방어구)</t>
  </si>
  <si>
    <t>무기 × 0.5  (방어구 목표 시간이 무기의 절반)</t>
  </si>
  <si>
    <t>채집물 수량</t>
  </si>
  <si>
    <t>채집 소요시간(초) ÷ 채집1회시간(초) → 10단위 반올림</t>
  </si>
  <si>
    <t>가공물 수량</t>
  </si>
  <si>
    <t>채집물 ÷ 10  (채집물 10개 가공 → 가공물 1개)</t>
  </si>
  <si>
    <t>채집 소요 시간</t>
  </si>
  <si>
    <t>채집물 × 채집1회시간(초)  →  파밍 목표 시간의 50%</t>
  </si>
  <si>
    <t>가공물 적용 범위</t>
  </si>
  <si>
    <t>전리품 제작 / 코어 제작 구분 없이 동일 수량 적용</t>
  </si>
  <si>
    <t>장비 아이템 리스트 — 티어 / 획득 방식 / 옵션 전체 목록</t>
  </si>
  <si>
    <t>획득 방식을 클릭하면 해당 밸런스 시트로 이동  |  T1: 기본 제작(1패시브)  |  T2: 2패시브  |  T3+: 3패시브</t>
  </si>
  <si>
    <t>획득 방식</t>
  </si>
  <si>
    <t>재질</t>
  </si>
  <si>
    <t>파츠</t>
  </si>
  <si>
    <t>패시브 1</t>
  </si>
  <si>
    <t>패시브 2</t>
  </si>
  <si>
    <t>패시브 3</t>
  </si>
  <si>
    <t>비고</t>
  </si>
  <si>
    <t>Cid</t>
  </si>
  <si>
    <t>장비 이름</t>
  </si>
  <si>
    <t>1T</t>
  </si>
  <si>
    <t>기본 제작</t>
  </si>
  <si>
    <t>판금</t>
  </si>
  <si>
    <t>아머</t>
  </si>
  <si>
    <t>받는 피해 감소</t>
  </si>
  <si>
    <t>채집물만으로 제작 가능</t>
  </si>
  <si>
    <t>1T 판금 갑옷(기본템)</t>
  </si>
  <si>
    <t>헬멧</t>
  </si>
  <si>
    <t>생명력 자연 회복</t>
  </si>
  <si>
    <t>1T 판금 투구(기본템)</t>
  </si>
  <si>
    <t>장갑</t>
  </si>
  <si>
    <t>최대 생명력</t>
  </si>
  <si>
    <t>1T 판금 장갑(기본템)</t>
  </si>
  <si>
    <t>신발</t>
  </si>
  <si>
    <t>방어력</t>
  </si>
  <si>
    <t>1T 판금 신발(기본템)</t>
  </si>
  <si>
    <t>가죽</t>
  </si>
  <si>
    <t>1T 가죽 갑옷(기본템)</t>
  </si>
  <si>
    <t>치명타 확률</t>
  </si>
  <si>
    <t>1T 가죽 투구(기본템)</t>
  </si>
  <si>
    <t>공격 속도</t>
  </si>
  <si>
    <t>1T 가죽 장갑(기본템)</t>
  </si>
  <si>
    <t>공격력</t>
  </si>
  <si>
    <t>1T 가죽 신발(기본템)</t>
  </si>
  <si>
    <t>천</t>
  </si>
  <si>
    <t>최대 마력</t>
  </si>
  <si>
    <t>1T 천 갑옷(기본템)</t>
  </si>
  <si>
    <t>마력 자연 회복</t>
  </si>
  <si>
    <t>1T 천 투구(기본템)</t>
  </si>
  <si>
    <t>1T 천 장갑(기본템)</t>
  </si>
  <si>
    <t>1T 천 신발(기본템)</t>
  </si>
  <si>
    <t>2T</t>
  </si>
  <si>
    <t>전리품 제작</t>
  </si>
  <si>
    <t>T2 전리품 필요</t>
  </si>
  <si>
    <t>2T 판금 투구(전리품 제작)</t>
  </si>
  <si>
    <t>2T 판금 장갑(전리품 제작)</t>
  </si>
  <si>
    <t>2T 판금 신발(전리품 제작)</t>
  </si>
  <si>
    <t>2T 가죽 투구(전리품 제작)</t>
  </si>
  <si>
    <t>2T 가죽 장갑(전리품 제작)</t>
  </si>
  <si>
    <t>스킬 가속</t>
  </si>
  <si>
    <t>2T 가죽 신발(전리품 제작)</t>
  </si>
  <si>
    <t>2T 천 투구(전리품 제작)</t>
  </si>
  <si>
    <t>2T 천 장갑(전리품 제작)</t>
  </si>
  <si>
    <t>2T 천 신발(전리품 제작)</t>
  </si>
  <si>
    <t>던전 코어 제작</t>
  </si>
  <si>
    <t>T2 던전 코어 필요</t>
  </si>
  <si>
    <t>2T 판금 갑옷(던전 코어)</t>
  </si>
  <si>
    <t>치명타 피해</t>
  </si>
  <si>
    <t>2T 판금 장갑(던전 코어)</t>
  </si>
  <si>
    <t>2T 가죽 갑옷(던전 코어)</t>
  </si>
  <si>
    <t>2T 가죽 장갑(던전 코어)</t>
  </si>
  <si>
    <t>2T 천 갑옷(던전 코어)</t>
  </si>
  <si>
    <t>2T 천 장갑(던전 코어)</t>
  </si>
  <si>
    <t>보스 드랍</t>
  </si>
  <si>
    <t>보스 처치 시 0.5~1% 확률 드랍</t>
  </si>
  <si>
    <t>2T 판금 신발(드랍)</t>
  </si>
  <si>
    <t>2T 가죽 신발(드랍)</t>
  </si>
  <si>
    <t>2T 천 신발(드랍)</t>
  </si>
  <si>
    <t>3T</t>
  </si>
  <si>
    <t>T3 전리품 필요</t>
  </si>
  <si>
    <t>3T 판금 갑옷(전리품 제작)</t>
  </si>
  <si>
    <t>3T 판금 투구(전리품 제작)</t>
  </si>
  <si>
    <t>상태이상 저항력</t>
  </si>
  <si>
    <t>3T 판금 장갑(전리품 제작)</t>
  </si>
  <si>
    <t>받는 치유량</t>
  </si>
  <si>
    <t>PVE 피해 증가</t>
  </si>
  <si>
    <t>3T 가죽 갑옷(전리품 제작)</t>
  </si>
  <si>
    <t>3T 가죽 투구(전리품 제작)</t>
  </si>
  <si>
    <t>3T 가죽 장갑(전리품 제작)</t>
  </si>
  <si>
    <t>치유력</t>
  </si>
  <si>
    <t>3T 천 갑옷(전리품 제작)</t>
  </si>
  <si>
    <t>3T 천 투구(전리품 제작)</t>
  </si>
  <si>
    <t>3T 천 장갑(전리품 제작)</t>
  </si>
  <si>
    <t>T3 던전 코어 필요</t>
  </si>
  <si>
    <t>3T 판금 갑옷(던전 코어)</t>
  </si>
  <si>
    <t>3T 판금 투구(던전 코어)</t>
  </si>
  <si>
    <t>3T 판금 장갑(던전 코어)</t>
  </si>
  <si>
    <t>피해 증가</t>
  </si>
  <si>
    <t>3T 판금 신발(던전 코어)</t>
  </si>
  <si>
    <t>3T 가죽 갑옷(던전 코어)</t>
  </si>
  <si>
    <t>3T 가죽 투구(던전 코어)</t>
  </si>
  <si>
    <t>3T 가죽 장갑(던전 코어)</t>
  </si>
  <si>
    <t>3T 가죽 신발(던전 코어)</t>
  </si>
  <si>
    <t>3T 천 갑옷(던전 코어)</t>
  </si>
  <si>
    <t>3T 천 투구(던전 코어)</t>
  </si>
  <si>
    <t>3T 천 장갑(던전 코어)</t>
  </si>
  <si>
    <t>3T 천 신발(던전 코어)</t>
  </si>
  <si>
    <t>3T 판금 갑옷(드랍)</t>
  </si>
  <si>
    <t>3T 판금 투구(드랍)</t>
  </si>
  <si>
    <t>3T 판금 신발(드랍)</t>
  </si>
  <si>
    <t>3T 가죽 갑옷(드랍)</t>
  </si>
  <si>
    <t>3T 가죽 투구(드랍)</t>
  </si>
  <si>
    <t>3T 가죽 신발(드랍)</t>
  </si>
  <si>
    <t>3T 천 갑옷(드랍)</t>
  </si>
  <si>
    <t>3T 천 투구(드랍)</t>
  </si>
  <si>
    <t>3T 천 신발(드랍)</t>
  </si>
  <si>
    <t>📊  티어별 아이템 수</t>
  </si>
  <si>
    <t>1T  :  12개</t>
  </si>
  <si>
    <t>2T  :  24개</t>
  </si>
  <si>
    <t>3T  :  39개</t>
  </si>
  <si>
    <t>📊  획득방식별 아이템 수</t>
  </si>
  <si>
    <t>기본 제작  :  12개</t>
  </si>
  <si>
    <t>전리품 제작  :  24개</t>
  </si>
  <si>
    <t>던전 코어 제작  :  21개</t>
  </si>
  <si>
    <t>보스 드랍  :  18개</t>
  </si>
  <si>
    <t>전리품 제작 밸런스 — 티어별 재료 수량</t>
  </si>
  <si>
    <t>전리품(53xx) : 필드 드랍 티어별 차등 (T2:8.33%/T3:3.33%/T4:1.00%/T5:0.33%/T6:0.13%/T7:0.053%)  |  가공물(52xx) : 채집물 10개 가공  |  하우징: 일반 100개/일(밭1개) · 프리미엄 1000개/일(밭10개)</t>
  </si>
  <si>
    <t>무기
목표</t>
  </si>
  <si>
    <t>방어구
목표</t>
  </si>
  <si>
    <t>가공물</t>
  </si>
  <si>
    <t>채집만
(순채집 시간)</t>
  </si>
  <si>
    <t>🌿 일반
하우징만 소요</t>
  </si>
  <si>
    <t>⭐ 프리미엄
하우징만 소요</t>
  </si>
  <si>
    <t>채집물÷100개/일</t>
  </si>
  <si>
    <t>채집물÷1000개/일</t>
  </si>
  <si>
    <t>5분</t>
  </si>
  <si>
    <t>10분</t>
  </si>
  <si>
    <t>1분</t>
  </si>
  <si>
    <t>0.20일</t>
  </si>
  <si>
    <t>0.02일</t>
  </si>
  <si>
    <t>T1은 전리품 없음</t>
  </si>
  <si>
    <t>2일</t>
  </si>
  <si>
    <t>사냥 12분 + 채집 6분</t>
  </si>
  <si>
    <t>4일</t>
  </si>
  <si>
    <t>0.40일</t>
  </si>
  <si>
    <t>사냥 1시간 + 채집 30분</t>
  </si>
  <si>
    <t>6일</t>
  </si>
  <si>
    <t>0.60일</t>
  </si>
  <si>
    <t>사냥 5시간 + 채집 2.5시간</t>
  </si>
  <si>
    <t>10일</t>
  </si>
  <si>
    <t>1일</t>
  </si>
  <si>
    <t>사냥 25시간 + 채집 12.5시간</t>
  </si>
  <si>
    <t>2.60일</t>
  </si>
  <si>
    <t>20일</t>
  </si>
  <si>
    <t>사냥 125시간 + 채집 2.60일</t>
  </si>
  <si>
    <t>13.02일</t>
  </si>
  <si>
    <t>40일</t>
  </si>
  <si>
    <t>사냥 625시간 + 채집 13.02일</t>
  </si>
  <si>
    <t>던전 코어 제작 밸런스 — 티어별 재료 수량 및 달성 기간</t>
  </si>
  <si>
    <t>코어(53xx) : 던전 100% 확정 드랍, 3~7개 랜덤(평균 5개), 일 3회 입장 제한  |  가공물(52xx) : 채집물 10개 가공  |  하우징: 일반 100개/일(밭1개) · 프리미엄 1000개/일(밭10개)</t>
  </si>
  <si>
    <t>목표 기간</t>
  </si>
  <si>
    <t>코어 수량
(무기=방어구)</t>
  </si>
  <si>
    <t>필요 던전
입장 횟수</t>
  </si>
  <si>
    <t>실제 필요
일수(평균)</t>
  </si>
  <si>
    <t>일일 투자
시간</t>
  </si>
  <si>
    <t>채집물(무기)
채집만 시간</t>
  </si>
  <si>
    <t xml:space="preserve">- </t>
  </si>
  <si>
    <t>T1은 코어 제작 없음</t>
  </si>
  <si>
    <t>0.2일</t>
  </si>
  <si>
    <t>0.3일</t>
  </si>
  <si>
    <t>45분/일</t>
  </si>
  <si>
    <t>던전 1회 입장으로 달성 가능</t>
  </si>
  <si>
    <t>1.0일</t>
  </si>
  <si>
    <t>하루 3회 풀 입장으로 달성</t>
  </si>
  <si>
    <t>3일</t>
  </si>
  <si>
    <t>3.0일</t>
  </si>
  <si>
    <t>3일 × 하루 3회</t>
  </si>
  <si>
    <t>10.0일</t>
  </si>
  <si>
    <t>10일 꾸준 투자</t>
  </si>
  <si>
    <t>30일</t>
  </si>
  <si>
    <t>30.0일</t>
  </si>
  <si>
    <t>30일 × 하루 45분</t>
  </si>
  <si>
    <t>100일</t>
  </si>
  <si>
    <t>100.0일</t>
  </si>
  <si>
    <t>100일 장기 목표</t>
  </si>
  <si>
    <t>■  코어 드랍 수량 편차 설계 — 3~7개 (평균 5개)</t>
  </si>
  <si>
    <t>•  범위 1~10 → 운이 나쁘면 절반 이하, 운이 좋으면 두 배 이상 — 편차가 너무 커 "운빨" 성격이 강해짐</t>
  </si>
  <si>
    <t>•  범위 3~7  → 최솟값이 평균의 60%, 최댓값이 140% — "천장 보장" 성격 강화, 예측 가능한 진행감 제공</t>
  </si>
  <si>
    <t>•  예) 코어 15개 필요(T3) 시 : 범위 1~10이면 최악 15회, 범위 3~7이면 최악 5회 입장으로 완성</t>
  </si>
  <si>
    <t>🏡  하우징 채집 효과 분석  —  필드 채집 vs 하우징 병행</t>
  </si>
  <si>
    <t>밭 1개당 채집물 100개 심기  |  24시간마다 1개 수확  |  일반: 밭 1개(100개/일)  |  프리미엄: 밭 10개(1000개/일)</t>
  </si>
  <si>
    <t>⚙️  하우징 사양</t>
  </si>
  <si>
    <t>밭 수량</t>
  </si>
  <si>
    <t>일반 1개</t>
  </si>
  <si>
    <t>프리미엄 10개</t>
  </si>
  <si>
    <t>하루 수확량</t>
  </si>
  <si>
    <t>100개/일</t>
  </si>
  <si>
    <t>1000개/일</t>
  </si>
  <si>
    <t>🗡️  무기 기준  —  채집물 수량 &amp; 채집 시간 단축 효과</t>
  </si>
  <si>
    <t>채집
1회(초)</t>
  </si>
  <si>
    <t>필드 채집만</t>
  </si>
  <si>
    <t>🌿 일반 유저 (밭 1개)</t>
  </si>
  <si>
    <t>⭐ 프리미엄 유저 (밭 10개)</t>
  </si>
  <si>
    <t>채집물
수량</t>
  </si>
  <si>
    <t>순수
채집시간</t>
  </si>
  <si>
    <t>전량
소요일수</t>
  </si>
  <si>
    <t>절감 시간
(단축량)</t>
  </si>
  <si>
    <t>10개/일</t>
  </si>
  <si>
    <t>▲ -1초 (2.1%↓)</t>
  </si>
  <si>
    <t>▲ -12초 (20.8%↓)</t>
  </si>
  <si>
    <t>빠른 진입</t>
  </si>
  <si>
    <t>▲ -2초 (0.6%↓)</t>
  </si>
  <si>
    <t>▲ -22초 (6.2%↓)</t>
  </si>
  <si>
    <t>초반</t>
  </si>
  <si>
    <t>▲ -28초 (1.6%↓)</t>
  </si>
  <si>
    <t>▲ -4.7분 (15.6%↓)</t>
  </si>
  <si>
    <t>중반</t>
  </si>
  <si>
    <t>▲ -7.8분 (5.2%↓)</t>
  </si>
  <si>
    <t>▲ -1.3시간 (52.1%↓)</t>
  </si>
  <si>
    <t>중후반</t>
  </si>
  <si>
    <t>▲ -2.0시간 (15.6%↓)</t>
  </si>
  <si>
    <t>▲ -12.5시간 (100.0%↓)</t>
  </si>
  <si>
    <t>후반</t>
  </si>
  <si>
    <t>▲ -1.0일 (39.1%↓)</t>
  </si>
  <si>
    <t>▲ -2.6일 (100.0%↓)</t>
  </si>
  <si>
    <t>고난이도</t>
  </si>
  <si>
    <t>▲ -12.7일 (97.7%↓)</t>
  </si>
  <si>
    <t>▲ -13.0일 (100.0%↓)</t>
  </si>
  <si>
    <t>최고난이도</t>
  </si>
  <si>
    <t>🛡️  방어구 기준  —  채집물 수량 &amp; 채집 시간 단축 효과</t>
  </si>
  <si>
    <t>0.5분</t>
  </si>
  <si>
    <t>0.10일</t>
  </si>
  <si>
    <t>▲ -1초 (3.8%↓)</t>
  </si>
  <si>
    <t>0.01일</t>
  </si>
  <si>
    <t>▲ -11초 (38.2%↓)</t>
  </si>
  <si>
    <t>3분</t>
  </si>
  <si>
    <t>▲ -2초 (1.0%↓)</t>
  </si>
  <si>
    <t>▲ -19초 (10.4%↓)</t>
  </si>
  <si>
    <t>15분</t>
  </si>
  <si>
    <t>▲ -23초 (2.6%↓)</t>
  </si>
  <si>
    <t>▲ -3.9분 (26.0%↓)</t>
  </si>
  <si>
    <t>1.2시간</t>
  </si>
  <si>
    <t>▲ -6.5분 (8.7%↓)</t>
  </si>
  <si>
    <t>0.30일</t>
  </si>
  <si>
    <t>▲ -1.1시간 (86.8%↓)</t>
  </si>
  <si>
    <t>6.2시간</t>
  </si>
  <si>
    <t>5일</t>
  </si>
  <si>
    <t>▲ -1.6시간 (26.0%↓)</t>
  </si>
  <si>
    <t>0.50일</t>
  </si>
  <si>
    <t>▲ -6.2시간 (100.0%↓)</t>
  </si>
  <si>
    <t>1.30일</t>
  </si>
  <si>
    <t>▲ -20.3시간 (65.1%↓)</t>
  </si>
  <si>
    <t>▲ -1.3일 (100.0%↓)</t>
  </si>
  <si>
    <t>6.51일</t>
  </si>
  <si>
    <t>▲ -6.5일 (100.0%↓)</t>
  </si>
  <si>
    <t>📋  기획 인사이트</t>
  </si>
  <si>
    <t>▶  일반 유저 (밭 1개 · 10개/일)</t>
  </si>
  <si>
    <t xml:space="preserve">  • T1~T3는 필드 채집이 빠르므로 하우징 절감 효과 미미 (수초~수분 수준)</t>
  </si>
  <si>
    <t xml:space="preserve">  • T4부터 수 시간 단축 시작 / T6·T7은 60~300시간 이상 절감 — 꾸준히 심어두는 루틴이 핵심</t>
  </si>
  <si>
    <t>▶  프리미엄 유저 (밭 10개 · 100개/일)</t>
  </si>
  <si>
    <t xml:space="preserve">  • T5 이하는 수~수십 일 내 전량 하우징 수급 가능 → 필드 채집 대부분 생략</t>
  </si>
  <si>
    <t xml:space="preserve">  • T6·T7도 20~30일이면 전량 확보 — 프리미엄 차별화의 핵심 혜택</t>
  </si>
  <si>
    <t>▶  설계 포인트</t>
  </si>
  <si>
    <t xml:space="preserve">  • 하우징 = '기다리는 자원' — 즉각 해결 아님, 장기 플레이어에게 유리한 구조</t>
  </si>
  <si>
    <t xml:space="preserve">  • 일반/프리미엄 10배 차이 → 유료 차별화로 충분하나 T6+ 격차는 기획 재검토 가능</t>
  </si>
  <si>
    <t>📊 티어별 채집 시간 기준 &amp; 신규 채집물 수량 역산표</t>
  </si>
  <si>
    <t>채집 소요 시간 = 채집물 × 채집 1회 시간(티어별)  |  가공물 = 채집물 ÷ 10  |  전리품 수량 변경 없음</t>
  </si>
  <si>
    <t>무기
채집소요시간</t>
  </si>
  <si>
    <t>방어구
채집소요시간</t>
  </si>
  <si>
    <t>신 채집물수
(무기)</t>
  </si>
  <si>
    <t>신 채집물수
(방어구)</t>
  </si>
  <si>
    <t>신 가공물
(무기)</t>
  </si>
  <si>
    <t>신 가공물
(방어구)</t>
  </si>
  <si>
    <t>튜토리얼</t>
  </si>
  <si>
    <t>▶ 기존 대비 변경량 (신규 가공물 vs 기존 가공물)</t>
  </si>
  <si>
    <t>구 가공물
(무기)</t>
  </si>
  <si>
    <t>변화율
(무기)</t>
  </si>
  <si>
    <t>구 가공물
(방어구)</t>
  </si>
  <si>
    <t>변화율
(방어구)</t>
  </si>
  <si>
    <t>해석</t>
  </si>
  <si>
    <t>0.67x</t>
  </si>
  <si>
    <t>0.17x</t>
  </si>
  <si>
    <t>T1 대폭 감소</t>
  </si>
  <si>
    <t>1.67x</t>
  </si>
  <si>
    <t>0.42x</t>
  </si>
  <si>
    <t>소폭 감소</t>
  </si>
  <si>
    <t>1.11x</t>
  </si>
  <si>
    <t>0.28x</t>
  </si>
  <si>
    <t>0.33x</t>
  </si>
  <si>
    <t>0.08x</t>
  </si>
  <si>
    <t>대폭 감소</t>
  </si>
  <si>
    <t>0.11x</t>
  </si>
  <si>
    <t>0.03x</t>
  </si>
  <si>
    <t>0.04x</t>
  </si>
  <si>
    <t>0.01x</t>
  </si>
  <si>
    <t>0.02x</t>
  </si>
  <si>
    <t>0.00x</t>
  </si>
  <si>
    <t>드랍률 설계 — 경로별 드랍 정책</t>
  </si>
  <si>
    <t>balance_plan_v6.xlsx</t>
  </si>
  <si>
    <t>핵심 원칙 : 드랍 개수 1개 고정, 확률 높게 설정 → 유저가 '자주 나온다'는 긍정적 체감 유도  |  사냥 속도: 분당 10마리  |  하우징: 밭 1개당 100개/일</t>
  </si>
  <si>
    <t>드랍 구분</t>
  </si>
  <si>
    <t>확률</t>
  </si>
  <si>
    <t>분당 기대 획득
(20마리 기준)</t>
  </si>
  <si>
    <t>시간당 기대 획득</t>
  </si>
  <si>
    <t>설계 의도</t>
  </si>
  <si>
    <t>유저 체감</t>
  </si>
  <si>
    <t>동일 티어 전리품 (티어별 차등)</t>
  </si>
  <si>
    <t>티어별 상이 ↓</t>
  </si>
  <si>
    <t>—</t>
  </si>
  <si>
    <t>티어가 높을수록 드랍률 감소 — 파밍 시간 증가 설계</t>
  </si>
  <si>
    <t>하단 티어별 표 참조</t>
  </si>
  <si>
    <t>하위 티어 전리품</t>
  </si>
  <si>
    <t>2%</t>
  </si>
  <si>
    <t>고레벨 구간 하위 재료 자연 수급</t>
  </si>
  <si>
    <t>희귀하지만 가끔 나오는 부수입</t>
  </si>
  <si>
    <t>보스 완제품 드랍</t>
  </si>
  <si>
    <t>0.5~1%</t>
  </si>
  <si>
    <t>운빨 도파민 — 주력 경로 아님</t>
  </si>
  <si>
    <t>예상 밖 즉시 획득 — 짜릿함</t>
  </si>
  <si>
    <t>던전 코어</t>
  </si>
  <si>
    <t>100% 확정
(3~7개 랜덤)</t>
  </si>
  <si>
    <t>최대 21개/일
(3회×최대7개)</t>
  </si>
  <si>
    <t>천장 보장형 확정 드랍</t>
  </si>
  <si>
    <t>45분 투자의 확실한 보상</t>
  </si>
  <si>
    <t>▶  티어별 전리품 드랍률 상세</t>
  </si>
  <si>
    <t>드랍률
(합계)</t>
  </si>
  <si>
    <t>무기용
드랍률</t>
  </si>
  <si>
    <t>방어용
드랍률</t>
  </si>
  <si>
    <t>분당 기대 획득
(10마리)</t>
  </si>
  <si>
    <t>목표 전리품
(무기)</t>
  </si>
  <si>
    <t>사냥 목표
시간</t>
  </si>
  <si>
    <t>8.33%</t>
  </si>
  <si>
    <t>4.165%</t>
  </si>
  <si>
    <t>0.83333</t>
  </si>
  <si>
    <t>50.00</t>
  </si>
  <si>
    <t>10</t>
  </si>
  <si>
    <t>3.33%</t>
  </si>
  <si>
    <t>1.665%</t>
  </si>
  <si>
    <t>0.33333</t>
  </si>
  <si>
    <t>20.00</t>
  </si>
  <si>
    <t>20</t>
  </si>
  <si>
    <t>1.00%</t>
  </si>
  <si>
    <t>0.500%</t>
  </si>
  <si>
    <t>0.10000</t>
  </si>
  <si>
    <t>6.00</t>
  </si>
  <si>
    <t>30</t>
  </si>
  <si>
    <t>0.33%</t>
  </si>
  <si>
    <t>0.165%</t>
  </si>
  <si>
    <t>0.03333</t>
  </si>
  <si>
    <t>2.00</t>
  </si>
  <si>
    <t>50</t>
  </si>
  <si>
    <t>0.13%</t>
  </si>
  <si>
    <t>0.065%</t>
  </si>
  <si>
    <t>0.01333</t>
  </si>
  <si>
    <t>0.80</t>
  </si>
  <si>
    <t>100</t>
  </si>
  <si>
    <t>0.053%</t>
  </si>
  <si>
    <t>0.0265%</t>
  </si>
  <si>
    <t>0.00533</t>
  </si>
  <si>
    <t>0.32</t>
  </si>
  <si>
    <t>200</t>
  </si>
  <si>
    <t>■  처치 횟수별 누적 획득 확률 (티어별 드랍률 기준)</t>
  </si>
  <si>
    <t>처치 횟수</t>
  </si>
  <si>
    <t>T2 (8.33%)</t>
  </si>
  <si>
    <t>T4 (1.00%)</t>
  </si>
  <si>
    <t>T7 (0.053%)</t>
  </si>
  <si>
    <t>체감 (T2 기준)</t>
  </si>
  <si>
    <t>5마리</t>
  </si>
  <si>
    <t>35.28%</t>
  </si>
  <si>
    <t>4.9010%</t>
  </si>
  <si>
    <t>0.26638%</t>
  </si>
  <si>
    <t>25% 미만</t>
  </si>
  <si>
    <t>7마리</t>
  </si>
  <si>
    <t>45.61%</t>
  </si>
  <si>
    <t>6.7935%</t>
  </si>
  <si>
    <t>0.37274%</t>
  </si>
  <si>
    <t>10마리</t>
  </si>
  <si>
    <t>58.11%</t>
  </si>
  <si>
    <t>9.5618%</t>
  </si>
  <si>
    <t>0.53206%</t>
  </si>
  <si>
    <t>50%+</t>
  </si>
  <si>
    <t>20마리</t>
  </si>
  <si>
    <t>82.45%</t>
  </si>
  <si>
    <t>18.2093%</t>
  </si>
  <si>
    <t>1.06128%</t>
  </si>
  <si>
    <t>80%+</t>
  </si>
  <si>
    <t>50마리</t>
  </si>
  <si>
    <t>98.71%</t>
  </si>
  <si>
    <t>39.4994%</t>
  </si>
  <si>
    <t>2.63212%</t>
  </si>
  <si>
    <t>95%+</t>
  </si>
  <si>
    <t>100마리</t>
  </si>
  <si>
    <t>99.98%</t>
  </si>
  <si>
    <t>63.3968%</t>
  </si>
  <si>
    <t>5.19495%</t>
  </si>
  <si>
    <t>99%+ 확실</t>
  </si>
  <si>
    <t>200마리</t>
  </si>
  <si>
    <t>100.00%</t>
  </si>
  <si>
    <t>86.6020%</t>
  </si>
  <si>
    <t>10.12003%</t>
  </si>
  <si>
    <t>Craft.csv 수량 반영안 — MaterialItemCounts 변경 계획</t>
  </si>
  <si>
    <t>재료 구성(MaterialItemCids) 변경 없음 — 수량(MaterialItemCounts)만 변경  |  빨간 셀 = 변경된 수량  |  52xx=가공물  |  53xx 0001/0002=코어  |  53xx 0003~=전리품</t>
  </si>
  <si>
    <t>OID</t>
  </si>
  <si>
    <t>제작 항목</t>
  </si>
  <si>
    <t>재료1 (Cid)</t>
  </si>
  <si>
    <t>재료1
기존 → 신규</t>
  </si>
  <si>
    <t>재료2 (Cid)</t>
  </si>
  <si>
    <t>재료2
기존 → 신규</t>
  </si>
  <si>
    <t>재료3 (Cid)</t>
  </si>
  <si>
    <t>재료3
기존 → 신규</t>
  </si>
  <si>
    <t>10010001</t>
  </si>
  <si>
    <t>1T 장검</t>
  </si>
  <si>
    <t>52010001</t>
  </si>
  <si>
    <t>1</t>
  </si>
  <si>
    <t>10010101</t>
  </si>
  <si>
    <t>1T 양손검</t>
  </si>
  <si>
    <t>10010201</t>
  </si>
  <si>
    <t>1T 단검</t>
  </si>
  <si>
    <t>10010301</t>
  </si>
  <si>
    <t>1T 활</t>
  </si>
  <si>
    <t>52010003</t>
  </si>
  <si>
    <t>10010401</t>
  </si>
  <si>
    <t>1T 지팡이</t>
  </si>
  <si>
    <t>10020001</t>
  </si>
  <si>
    <t>2T 장검(특수)</t>
  </si>
  <si>
    <t>52020001</t>
  </si>
  <si>
    <t>2 → 8</t>
  </si>
  <si>
    <t>52020003</t>
  </si>
  <si>
    <t>1 → 4</t>
  </si>
  <si>
    <t>53020003</t>
  </si>
  <si>
    <t>10 → 60</t>
  </si>
  <si>
    <t>10020101</t>
  </si>
  <si>
    <t>2T 양손검(특수)</t>
  </si>
  <si>
    <t>10020201</t>
  </si>
  <si>
    <t>2T 단검(특수)</t>
  </si>
  <si>
    <t>52020004</t>
  </si>
  <si>
    <t>10020301</t>
  </si>
  <si>
    <t>2T 활(특수)</t>
  </si>
  <si>
    <t>10020401</t>
  </si>
  <si>
    <t>2T 지팡이(특수)</t>
  </si>
  <si>
    <t>52020002</t>
  </si>
  <si>
    <t>10020002</t>
  </si>
  <si>
    <t>2T 장검(일반)</t>
  </si>
  <si>
    <t>53020001</t>
  </si>
  <si>
    <t>1 → 3</t>
  </si>
  <si>
    <t>10020102</t>
  </si>
  <si>
    <t>2T 양손검(일반)</t>
  </si>
  <si>
    <t>10020202</t>
  </si>
  <si>
    <t>2T 단검(일반)</t>
  </si>
  <si>
    <t>10020302</t>
  </si>
  <si>
    <t>2T 활(일반)</t>
  </si>
  <si>
    <t>10020402</t>
  </si>
  <si>
    <t>2T 지팡이(일반)</t>
  </si>
  <si>
    <t>10030001</t>
  </si>
  <si>
    <t>3T 장검(특수)</t>
  </si>
  <si>
    <t>52030001</t>
  </si>
  <si>
    <t>10 → 24</t>
  </si>
  <si>
    <t>52030003</t>
  </si>
  <si>
    <t>5 → 12</t>
  </si>
  <si>
    <t>53030005</t>
  </si>
  <si>
    <t>10 → 180</t>
  </si>
  <si>
    <t>10030101</t>
  </si>
  <si>
    <t>3T 양손검(특수)</t>
  </si>
  <si>
    <t>10030201</t>
  </si>
  <si>
    <t>3T 단검(특수)</t>
  </si>
  <si>
    <t>52030004</t>
  </si>
  <si>
    <t>10030301</t>
  </si>
  <si>
    <t>3T 활(특수)</t>
  </si>
  <si>
    <t>10030401</t>
  </si>
  <si>
    <t>3T 지팡이(특수)</t>
  </si>
  <si>
    <t>52030002</t>
  </si>
  <si>
    <t>10030002</t>
  </si>
  <si>
    <t>3T 장검(일반)</t>
  </si>
  <si>
    <t>53030001</t>
  </si>
  <si>
    <t>2 → 15</t>
  </si>
  <si>
    <t>10030102</t>
  </si>
  <si>
    <t>3T 양손검(일반)</t>
  </si>
  <si>
    <t>10030202</t>
  </si>
  <si>
    <t>3T 단검(일반)</t>
  </si>
  <si>
    <t>10030302</t>
  </si>
  <si>
    <t>3T 활(일반)</t>
  </si>
  <si>
    <t>10030402</t>
  </si>
  <si>
    <t>3T 지팡이(일반)</t>
  </si>
  <si>
    <t>10040001</t>
  </si>
  <si>
    <t>4T 장검</t>
  </si>
  <si>
    <t>52040001</t>
  </si>
  <si>
    <t>8 → 120</t>
  </si>
  <si>
    <t>52040003</t>
  </si>
  <si>
    <t>4 → 60</t>
  </si>
  <si>
    <t>53040001</t>
  </si>
  <si>
    <t>3 → 45</t>
  </si>
  <si>
    <t>10040101</t>
  </si>
  <si>
    <t>4T 양손검</t>
  </si>
  <si>
    <t>10040201</t>
  </si>
  <si>
    <t>4T 단검</t>
  </si>
  <si>
    <t>52040004</t>
  </si>
  <si>
    <t>10040301</t>
  </si>
  <si>
    <t>4T 활</t>
  </si>
  <si>
    <t>10040401</t>
  </si>
  <si>
    <t>4T 지팡이</t>
  </si>
  <si>
    <t>52040002</t>
  </si>
  <si>
    <t>10050001</t>
  </si>
  <si>
    <t>5T 장검</t>
  </si>
  <si>
    <t>52050001</t>
  </si>
  <si>
    <t>16 → 600</t>
  </si>
  <si>
    <t>52050003</t>
  </si>
  <si>
    <t>8 → 300</t>
  </si>
  <si>
    <t>53050001</t>
  </si>
  <si>
    <t>10 → 150</t>
  </si>
  <si>
    <t>10050101</t>
  </si>
  <si>
    <t>5T 양손검</t>
  </si>
  <si>
    <t>10050201</t>
  </si>
  <si>
    <t>5T 단검</t>
  </si>
  <si>
    <t>52050004</t>
  </si>
  <si>
    <t>10050301</t>
  </si>
  <si>
    <t>5T 활</t>
  </si>
  <si>
    <t>10050401</t>
  </si>
  <si>
    <t>5T 지팡이</t>
  </si>
  <si>
    <t>52050002</t>
  </si>
  <si>
    <t>10060001</t>
  </si>
  <si>
    <t>6T 장검</t>
  </si>
  <si>
    <t>52060001</t>
  </si>
  <si>
    <t>32 → 3000</t>
  </si>
  <si>
    <t>52060003</t>
  </si>
  <si>
    <t>16 → 1500</t>
  </si>
  <si>
    <t>53060001</t>
  </si>
  <si>
    <t>30 → 450</t>
  </si>
  <si>
    <t>10060101</t>
  </si>
  <si>
    <t>6T 양손검</t>
  </si>
  <si>
    <t>10060201</t>
  </si>
  <si>
    <t>6T 단검</t>
  </si>
  <si>
    <t>52060004</t>
  </si>
  <si>
    <t>10060301</t>
  </si>
  <si>
    <t>6T 활</t>
  </si>
  <si>
    <t>10060401</t>
  </si>
  <si>
    <t>6T 지팡이</t>
  </si>
  <si>
    <t>52060002</t>
  </si>
  <si>
    <t>10070001</t>
  </si>
  <si>
    <t>7T 장검</t>
  </si>
  <si>
    <t>52070001</t>
  </si>
  <si>
    <t>64 → 15000</t>
  </si>
  <si>
    <t>52070003</t>
  </si>
  <si>
    <t>32 → 7500</t>
  </si>
  <si>
    <t>53070001</t>
  </si>
  <si>
    <t>30 → 1500</t>
  </si>
  <si>
    <t>10070101</t>
  </si>
  <si>
    <t>7T 양손검</t>
  </si>
  <si>
    <t>10070201</t>
  </si>
  <si>
    <t>7T 단검</t>
  </si>
  <si>
    <t>52070004</t>
  </si>
  <si>
    <t>10070301</t>
  </si>
  <si>
    <t>7T 활</t>
  </si>
  <si>
    <t>10070401</t>
  </si>
  <si>
    <t>7T 지팡이</t>
  </si>
  <si>
    <t>52070002</t>
  </si>
  <si>
    <t>20000001</t>
  </si>
  <si>
    <t>1T 판금 투구</t>
  </si>
  <si>
    <t>20000101</t>
  </si>
  <si>
    <t>1T 가죽 투구</t>
  </si>
  <si>
    <t>52010004</t>
  </si>
  <si>
    <t>20000201</t>
  </si>
  <si>
    <t>1T 천 투구</t>
  </si>
  <si>
    <t>52010002</t>
  </si>
  <si>
    <t>20001001</t>
  </si>
  <si>
    <t>1T 판금 갑옷</t>
  </si>
  <si>
    <t>20001101</t>
  </si>
  <si>
    <t>1T 가죽 갑옷</t>
  </si>
  <si>
    <t>20001201</t>
  </si>
  <si>
    <t>1T 천 갑옷</t>
  </si>
  <si>
    <t>20002001</t>
  </si>
  <si>
    <t>1T 판금 장갑</t>
  </si>
  <si>
    <t>20002101</t>
  </si>
  <si>
    <t>1T 가죽 장갑</t>
  </si>
  <si>
    <t>20002201</t>
  </si>
  <si>
    <t>1T 천 장갑</t>
  </si>
  <si>
    <t>20003001</t>
  </si>
  <si>
    <t>1T 판금 신발</t>
  </si>
  <si>
    <t>20003101</t>
  </si>
  <si>
    <t>1T 가죽 신발</t>
  </si>
  <si>
    <t>20003201</t>
  </si>
  <si>
    <t>1T 천 신발</t>
  </si>
  <si>
    <t>20010001</t>
  </si>
  <si>
    <t>1T 판금 투구(특수)</t>
  </si>
  <si>
    <t>2 → 3</t>
  </si>
  <si>
    <t>53010005</t>
  </si>
  <si>
    <t>1 → 15</t>
  </si>
  <si>
    <t>20010101</t>
  </si>
  <si>
    <t>1T 가죽 투구(특수)</t>
  </si>
  <si>
    <t>20010201</t>
  </si>
  <si>
    <t>1T 천 투구(특수)</t>
  </si>
  <si>
    <t>20011001</t>
  </si>
  <si>
    <t>1T 판금 갑옷(특수)</t>
  </si>
  <si>
    <t>20011101</t>
  </si>
  <si>
    <t>1T 가죽 갑옷(특수)</t>
  </si>
  <si>
    <t>20011201</t>
  </si>
  <si>
    <t>1T 천 갑옷(특수)</t>
  </si>
  <si>
    <t>20012001</t>
  </si>
  <si>
    <t>1T 판금 장갑(특수)</t>
  </si>
  <si>
    <t>20012101</t>
  </si>
  <si>
    <t>1T 가죽 장갑(특수)</t>
  </si>
  <si>
    <t>20012201</t>
  </si>
  <si>
    <t>1T 천 장갑(특수)</t>
  </si>
  <si>
    <t>20013001</t>
  </si>
  <si>
    <t>1T 판금 신발(특수)</t>
  </si>
  <si>
    <t>20013101</t>
  </si>
  <si>
    <t>1T 가죽 신발(특수)</t>
  </si>
  <si>
    <t>20013201</t>
  </si>
  <si>
    <t>1T 천 신발(특수)</t>
  </si>
  <si>
    <t>20020001</t>
  </si>
  <si>
    <t>2T 판금 투구(일반)</t>
  </si>
  <si>
    <t>2 → 24</t>
  </si>
  <si>
    <t>53020002</t>
  </si>
  <si>
    <t>20020101</t>
  </si>
  <si>
    <t>2T 가죽 투구(일반)</t>
  </si>
  <si>
    <t>20020201</t>
  </si>
  <si>
    <t>2T 천 투구(일반)</t>
  </si>
  <si>
    <t>20021001</t>
  </si>
  <si>
    <t>2T 판금 갑옷(일반)</t>
  </si>
  <si>
    <t>20021101</t>
  </si>
  <si>
    <t>2T 가죽 갑옷(일반)</t>
  </si>
  <si>
    <t>20021201</t>
  </si>
  <si>
    <t>2T 천 갑옷(일반)</t>
  </si>
  <si>
    <t>20022001</t>
  </si>
  <si>
    <t>2T 판금 장갑(일반)</t>
  </si>
  <si>
    <t>20022101</t>
  </si>
  <si>
    <t>2T 가죽 장갑(일반)</t>
  </si>
  <si>
    <t>20022201</t>
  </si>
  <si>
    <t>2T 천 장갑(일반)</t>
  </si>
  <si>
    <t>20023001</t>
  </si>
  <si>
    <t>2T 판금 신발(일반)</t>
  </si>
  <si>
    <t>20023101</t>
  </si>
  <si>
    <t>2T 가죽 신발(일반)</t>
  </si>
  <si>
    <t>20023201</t>
  </si>
  <si>
    <t>2T 천 신발(일반)</t>
  </si>
  <si>
    <t>20020002</t>
  </si>
  <si>
    <t>2T 판금 투구(특수)</t>
  </si>
  <si>
    <t>53020004</t>
  </si>
  <si>
    <t>5 → 120</t>
  </si>
  <si>
    <t>20020102</t>
  </si>
  <si>
    <t>2T 가죽 투구(특수)</t>
  </si>
  <si>
    <t>20020202</t>
  </si>
  <si>
    <t>2T 천 투구(특수)</t>
  </si>
  <si>
    <t>20021002</t>
  </si>
  <si>
    <t>2T 판금 갑옷(특수)</t>
  </si>
  <si>
    <t>20021102</t>
  </si>
  <si>
    <t>2T 가죽 갑옷(특수)</t>
  </si>
  <si>
    <t>20021202</t>
  </si>
  <si>
    <t>2T 천 갑옷(특수)</t>
  </si>
  <si>
    <t>20022002</t>
  </si>
  <si>
    <t>2T 판금 장갑(특수)</t>
  </si>
  <si>
    <t>20022102</t>
  </si>
  <si>
    <t>2T 가죽 장갑(특수)</t>
  </si>
  <si>
    <t>20022202</t>
  </si>
  <si>
    <t>2T 천 장갑(특수)</t>
  </si>
  <si>
    <t>20023002</t>
  </si>
  <si>
    <t>2T 판금 신발(특수)</t>
  </si>
  <si>
    <t>20023102</t>
  </si>
  <si>
    <t>2T 가죽 신발(특수)</t>
  </si>
  <si>
    <t>20023202</t>
  </si>
  <si>
    <t>2T 천 신발(특수)</t>
  </si>
  <si>
    <t>20030001</t>
  </si>
  <si>
    <t>3T 판금 투구(일반)</t>
  </si>
  <si>
    <t>10 → 72</t>
  </si>
  <si>
    <t>53030002</t>
  </si>
  <si>
    <t>20030101</t>
  </si>
  <si>
    <t>3T 가죽 투구(일반)</t>
  </si>
  <si>
    <t>20030201</t>
  </si>
  <si>
    <t>3T 천 투구(일반)</t>
  </si>
  <si>
    <t>20031001</t>
  </si>
  <si>
    <t>3T 판금 갑옷(일반)</t>
  </si>
  <si>
    <t>20031101</t>
  </si>
  <si>
    <t>3T 가죽 갑옷(일반)</t>
  </si>
  <si>
    <t>20031201</t>
  </si>
  <si>
    <t>3T 천 갑옷(일반)</t>
  </si>
  <si>
    <t>20032001</t>
  </si>
  <si>
    <t>3T 판금 장갑(일반)</t>
  </si>
  <si>
    <t>20032101</t>
  </si>
  <si>
    <t>3T 가죽 장갑(일반)</t>
  </si>
  <si>
    <t>20032201</t>
  </si>
  <si>
    <t>3T 천 장갑(일반)</t>
  </si>
  <si>
    <t>20033001</t>
  </si>
  <si>
    <t>3T 판금 신발(일반)</t>
  </si>
  <si>
    <t>20033101</t>
  </si>
  <si>
    <t>3T 가죽 신발(일반)</t>
  </si>
  <si>
    <t>20033201</t>
  </si>
  <si>
    <t>3T 천 신발(일반)</t>
  </si>
  <si>
    <t>20030002</t>
  </si>
  <si>
    <t>3T 판금 투구(특수)</t>
  </si>
  <si>
    <t>53030006</t>
  </si>
  <si>
    <t>5 → 360</t>
  </si>
  <si>
    <t>20030102</t>
  </si>
  <si>
    <t>3T 가죽 투구(특수)</t>
  </si>
  <si>
    <t>20030202</t>
  </si>
  <si>
    <t>3T 천 투구(특수)</t>
  </si>
  <si>
    <t>20031002</t>
  </si>
  <si>
    <t>3T 판금 갑옷(특수)</t>
  </si>
  <si>
    <t>20031102</t>
  </si>
  <si>
    <t>3T 가죽 갑옷(특수)</t>
  </si>
  <si>
    <t>20031202</t>
  </si>
  <si>
    <t>3T 천 갑옷(특수)</t>
  </si>
  <si>
    <t>20032002</t>
  </si>
  <si>
    <t>3T 판금 장갑(특수)</t>
  </si>
  <si>
    <t>20032102</t>
  </si>
  <si>
    <t>3T 가죽 장갑(특수)</t>
  </si>
  <si>
    <t>20032202</t>
  </si>
  <si>
    <t>3T 천 장갑(특수)</t>
  </si>
  <si>
    <t>20033002</t>
  </si>
  <si>
    <t>3T 판금 신발(특수)</t>
  </si>
  <si>
    <t>20033102</t>
  </si>
  <si>
    <t>3T 가죽 신발(특수)</t>
  </si>
  <si>
    <t>20033202</t>
  </si>
  <si>
    <t>3T 천 신발(특수)</t>
  </si>
  <si>
    <t>20040001</t>
  </si>
  <si>
    <t>4T 판금 투구</t>
  </si>
  <si>
    <t>8 → 360</t>
  </si>
  <si>
    <t>53040002</t>
  </si>
  <si>
    <t>20040101</t>
  </si>
  <si>
    <t>4T 가죽 투구</t>
  </si>
  <si>
    <t>20040201</t>
  </si>
  <si>
    <t>4T 천 투구</t>
  </si>
  <si>
    <t>20041001</t>
  </si>
  <si>
    <t>4T 판금 갑옷</t>
  </si>
  <si>
    <t>20041101</t>
  </si>
  <si>
    <t>4T 가죽 갑옷</t>
  </si>
  <si>
    <t>20041201</t>
  </si>
  <si>
    <t>4T 천 갑옷</t>
  </si>
  <si>
    <t>20042001</t>
  </si>
  <si>
    <t>4T 판금 신발</t>
  </si>
  <si>
    <t>20042101</t>
  </si>
  <si>
    <t>4T 가죽 신발</t>
  </si>
  <si>
    <t>20042201</t>
  </si>
  <si>
    <t>4T 천 신발</t>
  </si>
  <si>
    <t>20050001</t>
  </si>
  <si>
    <t>5T 판금 투구</t>
  </si>
  <si>
    <t>16 → 1800</t>
  </si>
  <si>
    <t>53050002</t>
  </si>
  <si>
    <t>20050101</t>
  </si>
  <si>
    <t>5T 가죽 투구</t>
  </si>
  <si>
    <t>20050201</t>
  </si>
  <si>
    <t>5T 천 투구</t>
  </si>
  <si>
    <t>20051001</t>
  </si>
  <si>
    <t>5T 판금 갑옷</t>
  </si>
  <si>
    <t>20051101</t>
  </si>
  <si>
    <t>5T 가죽 갑옷</t>
  </si>
  <si>
    <t>20051201</t>
  </si>
  <si>
    <t>5T 천 갑옷</t>
  </si>
  <si>
    <t>20052001</t>
  </si>
  <si>
    <t>5T 판금 신발</t>
  </si>
  <si>
    <t>20052101</t>
  </si>
  <si>
    <t>5T 가죽 신발</t>
  </si>
  <si>
    <t>20052201</t>
  </si>
  <si>
    <t>5T 천 신발</t>
  </si>
  <si>
    <t>20060001</t>
  </si>
  <si>
    <t>6T 판금 투구</t>
  </si>
  <si>
    <t>32 → 9000</t>
  </si>
  <si>
    <t>53060002</t>
  </si>
  <si>
    <t>20060101</t>
  </si>
  <si>
    <t>6T 가죽 투구</t>
  </si>
  <si>
    <t>20060201</t>
  </si>
  <si>
    <t>6T 천 투구</t>
  </si>
  <si>
    <t>20061001</t>
  </si>
  <si>
    <t>6T 판금 갑옷</t>
  </si>
  <si>
    <t>20061101</t>
  </si>
  <si>
    <t>6T 가죽 갑옷</t>
  </si>
  <si>
    <t>20061201</t>
  </si>
  <si>
    <t>6T 천 갑옷</t>
  </si>
  <si>
    <t>20062001</t>
  </si>
  <si>
    <t>6T 판금 신발</t>
  </si>
  <si>
    <t>20062101</t>
  </si>
  <si>
    <t>6T 가죽 신발</t>
  </si>
  <si>
    <t>20062201</t>
  </si>
  <si>
    <t>6T 천 신발</t>
  </si>
  <si>
    <t>20070001</t>
  </si>
  <si>
    <t>7T 판금 투구</t>
  </si>
  <si>
    <t>64 → 45000</t>
  </si>
  <si>
    <t>53070002</t>
  </si>
  <si>
    <t>20070101</t>
  </si>
  <si>
    <t>7T 가죽 투구</t>
  </si>
  <si>
    <t>20070201</t>
  </si>
  <si>
    <t>7T 천 투구</t>
  </si>
  <si>
    <t>20071001</t>
  </si>
  <si>
    <t>7T 판금 갑옷</t>
  </si>
  <si>
    <t>20071101</t>
  </si>
  <si>
    <t>7T 가죽 갑옷</t>
  </si>
  <si>
    <t>20071201</t>
  </si>
  <si>
    <t>7T 천 갑옷</t>
  </si>
  <si>
    <t>20072001</t>
  </si>
  <si>
    <t>7T 판금 신발</t>
  </si>
  <si>
    <t>20072101</t>
  </si>
  <si>
    <t>7T 가죽 신발</t>
  </si>
  <si>
    <t>20072201</t>
  </si>
  <si>
    <t>7T 천 신발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</si>
</sst>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%"/>
  </numFmts>
  <fonts count="81">
    <font>
      <sz val="11"/>
      <color theme="1"/>
      <name val="Calibri"/>
      <family val="2"/>
      <charset val="1"/>
    </font>
    <font>
      <b/>
      <sz val="15"/>
      <color rgb="FFFFFFFF"/>
      <name val="Noto Sans CJK SC"/>
      <family val="2"/>
      <charset val="1"/>
    </font>
    <font>
      <i/>
      <sz val="9"/>
      <color rgb="FF555555"/>
      <name val="Noto Sans CJK SC"/>
      <family val="2"/>
      <charset val="1"/>
    </font>
    <font>
      <b/>
      <sz val="13"/>
      <color rgb="FFFFFFFF"/>
      <name val="Noto Sans CJK SC"/>
      <family val="2"/>
      <charset val="1"/>
    </font>
    <font>
      <sz val="10"/>
      <color rgb="FF1A1A1A"/>
      <name val="Noto Sans CJK SC"/>
      <family val="2"/>
      <charset val="1"/>
    </font>
    <font>
      <b/>
      <sz val="9"/>
      <color rgb="FF1A8754"/>
      <name val="Noto Sans CJK SC"/>
      <family val="2"/>
      <charset val="1"/>
    </font>
    <font>
      <sz val="10"/>
      <color rgb="FF333333"/>
      <name val="맑은 고딕"/>
      <family val="2"/>
      <charset val="129"/>
    </font>
    <font>
      <sz val="10"/>
      <color rgb="FF1A1A1A"/>
      <name val="맑은 고딕"/>
      <family val="2"/>
      <charset val="129"/>
    </font>
    <font>
      <sz val="10"/>
      <color rgb="FF333333"/>
      <name val="Noto Sans CJK SC"/>
      <family val="2"/>
      <charset val="1"/>
    </font>
    <font>
      <b/>
      <u/>
      <sz val="10"/>
      <color rgb="FFFFFFFF"/>
      <name val="맑은 고딕"/>
      <family val="2"/>
      <charset val="129"/>
    </font>
    <font>
      <b/>
      <sz val="9"/>
      <color rgb="FF9A7D0A"/>
      <name val="Noto Sans CJK SC"/>
      <family val="2"/>
      <charset val="1"/>
    </font>
    <font>
      <b/>
      <sz val="9"/>
      <color rgb="FF7D3C98"/>
      <name val="Noto Sans CJK SC"/>
      <family val="2"/>
      <charset val="1"/>
    </font>
    <font>
      <b/>
      <sz val="9"/>
      <color rgb="FFC0392B"/>
      <name val="Noto Sans CJK SC"/>
      <family val="2"/>
      <charset val="1"/>
    </font>
    <font>
      <b/>
      <sz val="11"/>
      <color rgb="FFFFFFFF"/>
      <name val="Noto Sans CJK SC"/>
      <family val="2"/>
      <charset val="1"/>
    </font>
    <font>
      <b/>
      <sz val="18"/>
      <color rgb="FFFFFFFF"/>
      <name val="Noto Sans CJK SC"/>
      <family val="2"/>
      <charset val="1"/>
    </font>
    <font>
      <b/>
      <u/>
      <sz val="9"/>
      <color rgb="FFFFFFFF"/>
      <name val="맑은 고딕"/>
      <family val="2"/>
      <charset val="129"/>
    </font>
    <font>
      <sz val="10"/>
      <color rgb="FF1C2833"/>
      <name val="Noto Sans CJK SC"/>
      <family val="2"/>
      <charset val="1"/>
    </font>
    <font>
      <sz val="10"/>
      <color rgb="FF1C2833"/>
      <name val="맑은 고딕"/>
      <family val="2"/>
      <charset val="129"/>
    </font>
    <font>
      <b/>
      <sz val="12"/>
      <color rgb="FFFFFFFF"/>
      <name val="Noto Sans CJK SC"/>
      <family val="2"/>
    </font>
    <font>
      <u/>
      <sz val="9"/>
      <color rgb="FF1F618D"/>
      <name val="Noto Sans CJK SC"/>
      <family val="2"/>
    </font>
    <font>
      <sz val="10"/>
      <name val="맑은 고딕"/>
      <family val="2"/>
      <charset val="129"/>
    </font>
    <font>
      <sz val="9"/>
      <color rgb="FF1B3A5C"/>
      <name val="Noto Sans CJK SC"/>
      <family val="2"/>
    </font>
    <font>
      <b/>
      <sz val="9"/>
      <color rgb="FFFFFFFF"/>
      <name val="Noto Sans CJK SC"/>
      <family val="2"/>
    </font>
    <font>
      <b/>
      <sz val="10"/>
      <color rgb="FFFFFFFF"/>
      <name val="맑은 고딕"/>
      <family val="2"/>
      <charset val="129"/>
    </font>
    <font>
      <sz val="10"/>
      <color rgb="FF000000"/>
      <name val="맑은 고딕"/>
      <family val="2"/>
      <charset val="129"/>
    </font>
    <font>
      <sz val="9"/>
      <color rgb="FF000000"/>
      <name val="맑은 고딕"/>
      <family val="2"/>
      <charset val="129"/>
    </font>
    <font>
      <sz val="9"/>
      <color rgb="FF000000"/>
      <name val="Noto Sans CJK SC"/>
      <family val="2"/>
    </font>
    <font>
      <b/>
      <sz val="10"/>
      <color rgb="FFFFFFFF"/>
      <name val="Noto Sans CJK SC"/>
      <family val="2"/>
    </font>
    <font>
      <b/>
      <sz val="9"/>
      <color rgb="FF000000"/>
      <name val="Noto Sans CJK SC"/>
      <family val="2"/>
    </font>
    <font>
      <b/>
      <sz val="10"/>
      <color rgb="FFFFFFFF"/>
      <name val="Noto Sans CJK SC"/>
      <family val="2"/>
      <charset val="1"/>
    </font>
    <font>
      <b/>
      <sz val="10"/>
      <color rgb="FF2E86C1"/>
      <name val="맑은 고딕"/>
      <family val="2"/>
      <charset val="129"/>
    </font>
    <font>
      <b/>
      <u/>
      <sz val="10"/>
      <color rgb="FF1A8754"/>
      <name val="Noto Sans CJK SC"/>
      <family val="2"/>
      <charset val="1"/>
    </font>
    <font>
      <sz val="10"/>
      <color rgb="FF888888"/>
      <name val="맑은 고딕"/>
      <family val="2"/>
      <charset val="129"/>
    </font>
    <font>
      <i/>
      <sz val="10"/>
      <color rgb="FF555555"/>
      <name val="Noto Sans CJK SC"/>
      <family val="2"/>
      <charset val="1"/>
    </font>
    <font>
      <b/>
      <sz val="10"/>
      <color rgb="FF1A5276"/>
      <name val="맑은 고딕"/>
      <family val="2"/>
      <charset val="129"/>
    </font>
    <font>
      <b/>
      <u/>
      <sz val="10"/>
      <color rgb="FF9A7D0A"/>
      <name val="Noto Sans CJK SC"/>
      <family val="2"/>
      <charset val="1"/>
    </font>
    <font>
      <i/>
      <sz val="10"/>
      <color rgb="FF555555"/>
      <name val="맑은 고딕"/>
      <family val="2"/>
      <charset val="129"/>
    </font>
    <font>
      <b/>
      <u/>
      <sz val="10"/>
      <color rgb="FF7D3C98"/>
      <name val="Noto Sans CJK SC"/>
      <family val="2"/>
      <charset val="1"/>
    </font>
    <font>
      <b/>
      <u/>
      <sz val="10"/>
      <color rgb="FFC0392B"/>
      <name val="Noto Sans CJK SC"/>
      <family val="2"/>
      <charset val="1"/>
    </font>
    <font>
      <b/>
      <sz val="10"/>
      <color rgb="FF1E8449"/>
      <name val="맑은 고딕"/>
      <family val="2"/>
      <charset val="129"/>
    </font>
    <font>
      <b/>
      <sz val="10"/>
      <color rgb="FF1A8754"/>
      <name val="Noto Sans CJK SC"/>
      <family val="2"/>
      <charset val="1"/>
    </font>
    <font>
      <b/>
      <sz val="10"/>
      <color rgb="FF9A7D0A"/>
      <name val="Noto Sans CJK SC"/>
      <family val="2"/>
      <charset val="1"/>
    </font>
    <font>
      <b/>
      <sz val="10"/>
      <color rgb="FF7D3C98"/>
      <name val="Noto Sans CJK SC"/>
      <family val="2"/>
      <charset val="1"/>
    </font>
    <font>
      <b/>
      <sz val="10"/>
      <color rgb="FFC0392B"/>
      <name val="Noto Sans CJK SC"/>
      <family val="2"/>
      <charset val="1"/>
    </font>
    <font>
      <sz val="9"/>
      <color rgb="FF1A3A4A"/>
      <name val="Noto Sans CJK SC"/>
      <family val="2"/>
    </font>
    <font>
      <sz val="9"/>
      <color rgb="FF333333"/>
      <name val="Noto Sans CJK SC"/>
      <family val="2"/>
    </font>
    <font>
      <sz val="9"/>
      <color rgb="FF1B3A5C"/>
      <name val="Noto Sans CJK SC"/>
      <family val="2"/>
      <charset val="1"/>
    </font>
    <font>
      <b/>
      <sz val="9"/>
      <color rgb="FF000000"/>
      <name val="Noto Sans CJK SC"/>
      <family val="2"/>
      <charset val="1"/>
    </font>
    <font>
      <sz val="9"/>
      <color rgb="FF000000"/>
      <name val="Noto Sans CJK SC"/>
      <family val="2"/>
      <charset val="1"/>
    </font>
    <font>
      <sz val="9"/>
      <color rgb="FF000000"/>
      <name val="Arial"/>
      <family val="2"/>
      <charset val="1"/>
    </font>
    <font>
      <b/>
      <sz val="9"/>
      <color rgb="FFFFFFFF"/>
      <name val="Noto Sans CJK SC"/>
      <family val="2"/>
      <charset val="1"/>
    </font>
    <font>
      <b/>
      <sz val="8"/>
      <color rgb="FFFFFFFF"/>
      <name val="Noto Sans CJK SC"/>
      <family val="2"/>
      <charset val="1"/>
    </font>
    <font>
      <b/>
      <sz val="9"/>
      <color rgb="FFFFFFFF"/>
      <name val="Arial"/>
      <family val="2"/>
      <charset val="1"/>
    </font>
    <font>
      <b/>
      <sz val="9"/>
      <color rgb="FF000000"/>
      <name val="Arial"/>
      <family val="2"/>
      <charset val="1"/>
    </font>
    <font>
      <b/>
      <sz val="9"/>
      <color rgb="FFB8860B"/>
      <name val="Arial"/>
      <family val="2"/>
      <charset val="1"/>
    </font>
    <font>
      <b/>
      <sz val="9"/>
      <color rgb="FF1B3A5C"/>
      <name val="Noto Sans CJK SC"/>
      <family val="2"/>
      <charset val="1"/>
    </font>
    <font>
      <sz val="9"/>
      <color rgb="FF333333"/>
      <name val="Arial"/>
      <family val="2"/>
      <charset val="1"/>
    </font>
    <font>
      <sz val="9"/>
      <color rgb="FF333333"/>
      <name val="Noto Sans CJK SC"/>
      <family val="2"/>
      <charset val="1"/>
    </font>
    <font>
      <b/>
      <sz val="13"/>
      <name val="Noto Sans CJK SC"/>
      <family val="2"/>
      <charset val="1"/>
    </font>
    <font>
      <i/>
      <sz val="9"/>
      <name val="Noto Sans CJK SC"/>
      <family val="2"/>
      <charset val="1"/>
    </font>
    <font>
      <sz val="10"/>
      <name val="Arial"/>
      <family val="2"/>
      <charset val="1"/>
    </font>
    <font>
      <sz val="10"/>
      <name val="Noto Sans CJK SC"/>
      <family val="2"/>
      <charset val="1"/>
    </font>
    <font>
      <b/>
      <sz val="10"/>
      <name val="Noto Sans CJK SC"/>
      <family val="2"/>
      <charset val="1"/>
    </font>
    <font>
      <b/>
      <sz val="14"/>
      <color rgb="FFFFFFFF"/>
      <name val="Noto Sans CJK SC"/>
      <family val="2"/>
      <charset val="1"/>
    </font>
    <font>
      <b/>
      <sz val="10"/>
      <color rgb="FF1A1A1A"/>
      <name val="Noto Sans CJK SC"/>
      <family val="2"/>
      <charset val="1"/>
    </font>
    <font>
      <b/>
      <sz val="10"/>
      <color rgb="FF1A1A1A"/>
      <name val="맑은 고딕"/>
      <family val="2"/>
      <charset val="129"/>
    </font>
    <font>
      <b/>
      <sz val="14"/>
      <color rgb="FFFFFFFF"/>
      <name val="맑은 고딕"/>
      <family val="2"/>
      <charset val="129"/>
    </font>
    <font>
      <b/>
      <sz val="10"/>
      <color rgb="FFFFFFFF"/>
      <name val="맑은 고딕"/>
      <family val="2"/>
      <charset val="129"/>
    </font>
    <font>
      <sz val="10"/>
      <color rgb="FF555555"/>
      <name val="맑은 고딕"/>
      <family val="2"/>
      <charset val="129"/>
    </font>
    <font>
      <b/>
      <sz val="10"/>
      <color rgb="FFC0392B"/>
      <name val="맑은 고딕"/>
      <family val="2"/>
      <charset val="129"/>
    </font>
    <font>
      <b/>
      <sz val="10"/>
      <color rgb="FFB7950B"/>
      <name val="맑은 고딕"/>
      <family val="2"/>
      <charset val="129"/>
    </font>
    <font>
      <b/>
      <sz val="10"/>
      <color rgb="FFBA4A00"/>
      <name val="맑은 고딕"/>
      <family val="2"/>
      <charset val="129"/>
    </font>
    <font>
      <b/>
      <sz val="10"/>
      <color rgb="FF922B21"/>
      <name val="맑은 고딕"/>
      <family val="2"/>
      <charset val="129"/>
    </font>
    <font>
      <b/>
      <sz val="10"/>
      <color rgb="FF6C3483"/>
      <name val="맑은 고딕"/>
      <family val="2"/>
      <charset val="129"/>
    </font>
    <font>
      <sz val="8"/>
      <name val="돋움체"/>
      <family val="3"/>
      <charset val="129"/>
    </font>
    <font>
      <b/>
      <sz val="10"/>
      <color theme="1"/>
      <name val="Arial"/>
      <family val="3"/>
      <charset val="129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8"/>
      <color rgb="FFFFFFFF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</fonts>
  <fills count="66">
    <fill>
      <patternFill patternType="none"/>
    </fill>
    <fill>
      <patternFill patternType="gray125"/>
    </fill>
    <fill>
      <patternFill patternType="solid">
        <fgColor rgb="FF17202A"/>
        <bgColor rgb="FF1B2732"/>
      </patternFill>
    </fill>
    <fill>
      <patternFill patternType="solid">
        <fgColor rgb="FFD6EAF8"/>
        <bgColor rgb="FFE3F2FD"/>
      </patternFill>
    </fill>
    <fill>
      <patternFill patternType="mediumGray">
        <fgColor rgb="FF1E8449"/>
        <bgColor rgb="FF1B9057"/>
      </patternFill>
    </fill>
    <fill>
      <patternFill patternType="solid">
        <fgColor rgb="FFE8F8F5"/>
        <bgColor rgb="FFEBF5FB"/>
      </patternFill>
    </fill>
    <fill>
      <patternFill patternType="solid">
        <fgColor rgb="FFF8F9FA"/>
        <bgColor rgb="FFF9F9F9"/>
      </patternFill>
    </fill>
    <fill>
      <patternFill patternType="darkGray">
        <fgColor rgb="FF947809"/>
        <bgColor rgb="FFB78F0B"/>
      </patternFill>
    </fill>
    <fill>
      <patternFill patternType="solid">
        <fgColor rgb="FFFEF9E7"/>
        <bgColor rgb="FFFFF8E1"/>
      </patternFill>
    </fill>
    <fill>
      <patternFill patternType="mediumGray">
        <fgColor rgb="FF7D3C98"/>
        <bgColor rgb="FF783891"/>
      </patternFill>
    </fill>
    <fill>
      <patternFill patternType="solid">
        <fgColor rgb="FFFDF2F8"/>
        <bgColor rgb="FFFFEEEE"/>
      </patternFill>
    </fill>
    <fill>
      <patternFill patternType="mediumGray">
        <fgColor rgb="FFC0392B"/>
        <bgColor rgb="FFBF3C0F"/>
      </patternFill>
    </fill>
    <fill>
      <patternFill patternType="solid">
        <fgColor rgb="FFFDEDEC"/>
        <bgColor rgb="FFFFEEEE"/>
      </patternFill>
    </fill>
    <fill>
      <patternFill patternType="mediumGray">
        <fgColor rgb="FF1B516B"/>
        <bgColor rgb="FF1A5276"/>
      </patternFill>
    </fill>
    <fill>
      <patternFill patternType="solid">
        <fgColor rgb="FF1A5276"/>
        <bgColor rgb="FF1B516B"/>
      </patternFill>
    </fill>
    <fill>
      <patternFill patternType="solid">
        <fgColor rgb="FF1E8449"/>
        <bgColor rgb="FF1B9057"/>
      </patternFill>
    </fill>
    <fill>
      <patternFill patternType="solid">
        <fgColor rgb="FF782D0C"/>
        <bgColor rgb="FF4C245B"/>
      </patternFill>
    </fill>
    <fill>
      <patternFill patternType="solid">
        <fgColor rgb="FF4C245B"/>
        <bgColor rgb="FF333333"/>
      </patternFill>
    </fill>
    <fill>
      <patternFill patternType="solid">
        <fgColor rgb="FF1B2732"/>
        <bgColor rgb="FF17202A"/>
      </patternFill>
    </fill>
    <fill>
      <patternFill patternType="solid">
        <fgColor rgb="FF1B516B"/>
        <bgColor rgb="FF1A5276"/>
      </patternFill>
    </fill>
    <fill>
      <patternFill patternType="darkGray">
        <fgColor rgb="FF4C245B"/>
        <bgColor rgb="FF393E68"/>
      </patternFill>
    </fill>
    <fill>
      <patternFill patternType="solid">
        <fgColor rgb="FF206492"/>
        <bgColor rgb="FF2A6C90"/>
      </patternFill>
    </fill>
    <fill>
      <patternFill patternType="solid">
        <fgColor rgb="FF1B3A5C"/>
        <bgColor rgb="FF1A3A4A"/>
      </patternFill>
    </fill>
    <fill>
      <patternFill patternType="solid">
        <fgColor rgb="FFEBF5FB"/>
        <bgColor rgb="FFEBF3FB"/>
      </patternFill>
    </fill>
    <fill>
      <patternFill patternType="solid">
        <fgColor rgb="FF2E84B7"/>
        <bgColor rgb="FF2A6C90"/>
      </patternFill>
    </fill>
    <fill>
      <patternFill patternType="solid">
        <fgColor rgb="FFFFFFFF"/>
        <bgColor rgb="FFFDFEFE"/>
      </patternFill>
    </fill>
    <fill>
      <patternFill patternType="solid">
        <fgColor rgb="FF2B3D56"/>
        <bgColor rgb="FF1A3A4A"/>
      </patternFill>
    </fill>
    <fill>
      <patternFill patternType="solid">
        <fgColor rgb="FFF2F3F4"/>
        <bgColor rgb="FFF5F5F5"/>
      </patternFill>
    </fill>
    <fill>
      <patternFill patternType="solid">
        <fgColor rgb="FFEBF3FB"/>
        <bgColor rgb="FFEAF2FB"/>
      </patternFill>
    </fill>
    <fill>
      <patternFill patternType="solid">
        <fgColor rgb="FFFDFEFE"/>
        <bgColor rgb="FFFFFFFF"/>
      </patternFill>
    </fill>
    <fill>
      <patternFill patternType="solid">
        <fgColor rgb="FFD5F5E3"/>
        <bgColor rgb="FFE8F5E9"/>
      </patternFill>
    </fill>
    <fill>
      <patternFill patternType="solid">
        <fgColor rgb="FFE8F5E9"/>
        <bgColor rgb="FFE8F8F5"/>
      </patternFill>
    </fill>
    <fill>
      <patternFill patternType="solid">
        <fgColor rgb="FF1A3A4A"/>
        <bgColor rgb="FF1B3A5C"/>
      </patternFill>
    </fill>
    <fill>
      <patternFill patternType="solid">
        <fgColor rgb="FF2A6C90"/>
        <bgColor rgb="FF206492"/>
      </patternFill>
    </fill>
    <fill>
      <patternFill patternType="solid">
        <fgColor rgb="FF0F6B6B"/>
        <bgColor rgb="FF206492"/>
      </patternFill>
    </fill>
    <fill>
      <patternFill patternType="solid">
        <fgColor rgb="FFFFF8E1"/>
        <bgColor rgb="FFFEF9E7"/>
      </patternFill>
    </fill>
    <fill>
      <patternFill patternType="solid">
        <fgColor rgb="FFF0F6FF"/>
        <bgColor rgb="FFEBF5FB"/>
      </patternFill>
    </fill>
    <fill>
      <patternFill patternType="darkGray">
        <fgColor rgb="FF206492"/>
        <bgColor rgb="FF2A6C90"/>
      </patternFill>
    </fill>
    <fill>
      <patternFill patternType="solid">
        <fgColor rgb="FF393E68"/>
        <bgColor rgb="FF2B3D56"/>
      </patternFill>
    </fill>
    <fill>
      <patternFill patternType="darkGray">
        <fgColor rgb="FF565660"/>
        <bgColor rgb="FF2A6C90"/>
      </patternFill>
    </fill>
    <fill>
      <patternFill patternType="solid">
        <fgColor rgb="FFFAFAFA"/>
        <bgColor rgb="FFF9F9F9"/>
      </patternFill>
    </fill>
    <fill>
      <patternFill patternType="darkGray">
        <fgColor rgb="FF2B3D56"/>
        <bgColor rgb="FF1B3A5C"/>
      </patternFill>
    </fill>
    <fill>
      <patternFill patternType="solid">
        <fgColor rgb="FFFFCCCC"/>
        <bgColor rgb="FFFADBD8"/>
      </patternFill>
    </fill>
    <fill>
      <patternFill patternType="solid">
        <fgColor rgb="FFF5F5F5"/>
        <bgColor rgb="FFF2F3F4"/>
      </patternFill>
    </fill>
    <fill>
      <patternFill patternType="darkGray">
        <fgColor rgb="FFD5F5E3"/>
        <bgColor rgb="FFD6EAF8"/>
      </patternFill>
    </fill>
    <fill>
      <patternFill patternType="solid">
        <fgColor rgb="FFFFEEEE"/>
        <bgColor rgb="FFFDEDEC"/>
      </patternFill>
    </fill>
    <fill>
      <patternFill patternType="solid">
        <fgColor rgb="FFE3F2FD"/>
        <bgColor rgb="FFE8F4FD"/>
      </patternFill>
    </fill>
    <fill>
      <patternFill patternType="solid">
        <fgColor rgb="FFEAF2FB"/>
        <bgColor rgb="FFEBF3FB"/>
      </patternFill>
    </fill>
    <fill>
      <patternFill patternType="solid">
        <fgColor rgb="FFFDEBD0"/>
        <bgColor rgb="FFFFF3CD"/>
      </patternFill>
    </fill>
    <fill>
      <patternFill patternType="solid">
        <fgColor rgb="FFFADBD8"/>
        <bgColor rgb="FFFFCCCC"/>
      </patternFill>
    </fill>
    <fill>
      <patternFill patternType="solid">
        <fgColor rgb="FFF9F9F9"/>
        <bgColor rgb="FFF8F9FA"/>
      </patternFill>
    </fill>
    <fill>
      <patternFill patternType="solid">
        <fgColor rgb="FFF4ECF7"/>
        <bgColor rgb="FFF2F3F4"/>
      </patternFill>
    </fill>
    <fill>
      <patternFill patternType="solid">
        <fgColor rgb="FFFFFFFF"/>
        <bgColor indexed="64"/>
      </patternFill>
    </fill>
    <fill>
      <patternFill patternType="solid">
        <fgColor rgb="FF1B516B"/>
      </patternFill>
    </fill>
    <fill>
      <patternFill patternType="solid">
        <fgColor rgb="FF2A6C90"/>
      </patternFill>
    </fill>
    <fill>
      <patternFill patternType="solid">
        <fgColor rgb="FFFFFFFF"/>
      </patternFill>
    </fill>
    <fill>
      <patternFill patternType="solid">
        <fgColor rgb="FFEBF5FB"/>
      </patternFill>
    </fill>
    <fill>
      <patternFill patternType="solid">
        <fgColor rgb="FF1E8449"/>
      </patternFill>
    </fill>
    <fill>
      <patternFill patternType="solid">
        <fgColor rgb="FF947809"/>
      </patternFill>
    </fill>
    <fill>
      <patternFill patternType="solid">
        <fgColor rgb="FF1B9057"/>
      </patternFill>
    </fill>
    <fill>
      <patternFill patternType="solid">
        <fgColor rgb="FFB78F0B"/>
      </patternFill>
    </fill>
    <fill>
      <patternFill patternType="solid">
        <fgColor rgb="FFE8F5E9"/>
      </patternFill>
    </fill>
    <fill>
      <patternFill patternType="solid">
        <fgColor rgb="FFFFF3CD"/>
      </patternFill>
    </fill>
    <fill>
      <patternFill patternType="solid">
        <fgColor rgb="FF1A5276"/>
      </patternFill>
    </fill>
    <fill>
      <patternFill patternType="solid">
        <fgColor rgb="FF196F3D"/>
      </patternFill>
    </fill>
    <fill>
      <patternFill patternType="solid">
        <fgColor rgb="FF1B3A5C"/>
      </patternFill>
    </fill>
  </fills>
  <borders count="19">
    <border>
      <left/>
      <right/>
      <top/>
      <bottom/>
      <diagonal/>
    </border>
    <border>
      <left style="medium">
        <color rgb="FF565660"/>
      </left>
      <right/>
      <top style="medium">
        <color rgb="FF565660"/>
      </top>
      <bottom style="medium">
        <color rgb="FF565660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medium">
        <color rgb="FF9D9D9D"/>
      </left>
      <right style="medium">
        <color rgb="FF9D9D9D"/>
      </right>
      <top style="medium">
        <color rgb="FF9D9D9D"/>
      </top>
      <bottom style="medium">
        <color rgb="FF9D9D9D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medium">
        <color rgb="FF565660"/>
      </top>
      <bottom style="medium">
        <color rgb="FF565660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BBBBB"/>
      </left>
      <right style="thin">
        <color rgb="FFBBBBBB"/>
      </right>
      <top/>
      <bottom style="thin">
        <color rgb="FFBBBBBB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09">
    <xf numFmtId="0" fontId="0" fillId="0" borderId="0" xfId="0"/>
    <xf numFmtId="0" fontId="7" fillId="6" borderId="3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9" fillId="13" borderId="3" xfId="0" applyFont="1" applyFill="1" applyBorder="1" applyAlignment="1">
      <alignment horizontal="center" vertical="center" wrapText="1"/>
    </xf>
    <xf numFmtId="0" fontId="9" fillId="14" borderId="3" xfId="0" applyFont="1" applyFill="1" applyBorder="1" applyAlignment="1">
      <alignment horizontal="center" vertical="center" wrapText="1"/>
    </xf>
    <xf numFmtId="0" fontId="9" fillId="15" borderId="3" xfId="0" applyFont="1" applyFill="1" applyBorder="1" applyAlignment="1">
      <alignment horizontal="center" vertical="center" wrapText="1"/>
    </xf>
    <xf numFmtId="0" fontId="9" fillId="16" borderId="3" xfId="0" applyFont="1" applyFill="1" applyBorder="1" applyAlignment="1">
      <alignment horizontal="center" vertical="center" wrapText="1"/>
    </xf>
    <xf numFmtId="0" fontId="9" fillId="17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/>
    </xf>
    <xf numFmtId="0" fontId="20" fillId="0" borderId="0" xfId="0" applyFont="1"/>
    <xf numFmtId="0" fontId="22" fillId="24" borderId="4" xfId="0" applyFont="1" applyFill="1" applyBorder="1" applyAlignment="1">
      <alignment horizontal="center" vertical="center"/>
    </xf>
    <xf numFmtId="0" fontId="20" fillId="0" borderId="4" xfId="0" applyFont="1" applyBorder="1"/>
    <xf numFmtId="0" fontId="23" fillId="14" borderId="4" xfId="0" applyFont="1" applyFill="1" applyBorder="1" applyAlignment="1">
      <alignment horizontal="center" vertical="center"/>
    </xf>
    <xf numFmtId="0" fontId="24" fillId="25" borderId="4" xfId="0" applyFont="1" applyFill="1" applyBorder="1" applyAlignment="1">
      <alignment horizontal="center" vertical="center"/>
    </xf>
    <xf numFmtId="0" fontId="25" fillId="25" borderId="4" xfId="0" applyFont="1" applyFill="1" applyBorder="1" applyAlignment="1">
      <alignment horizontal="left" vertical="center"/>
    </xf>
    <xf numFmtId="0" fontId="24" fillId="23" borderId="4" xfId="0" applyFont="1" applyFill="1" applyBorder="1" applyAlignment="1">
      <alignment horizontal="center" vertical="center"/>
    </xf>
    <xf numFmtId="0" fontId="25" fillId="23" borderId="4" xfId="0" applyFont="1" applyFill="1" applyBorder="1" applyAlignment="1">
      <alignment horizontal="left" vertical="center"/>
    </xf>
    <xf numFmtId="0" fontId="28" fillId="25" borderId="4" xfId="0" applyFont="1" applyFill="1" applyBorder="1" applyAlignment="1">
      <alignment horizontal="left" vertical="center"/>
    </xf>
    <xf numFmtId="0" fontId="28" fillId="27" borderId="4" xfId="0" applyFont="1" applyFill="1" applyBorder="1" applyAlignment="1">
      <alignment horizontal="left" vertical="center"/>
    </xf>
    <xf numFmtId="0" fontId="29" fillId="2" borderId="5" xfId="0" applyFont="1" applyFill="1" applyBorder="1" applyAlignment="1">
      <alignment horizontal="center" vertical="center" wrapText="1"/>
    </xf>
    <xf numFmtId="0" fontId="30" fillId="28" borderId="3" xfId="0" applyFont="1" applyFill="1" applyBorder="1" applyAlignment="1">
      <alignment horizontal="center" vertical="center" wrapText="1"/>
    </xf>
    <xf numFmtId="0" fontId="31" fillId="5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29" borderId="3" xfId="0" applyFont="1" applyFill="1" applyBorder="1" applyAlignment="1">
      <alignment horizontal="left" vertical="center" wrapText="1"/>
    </xf>
    <xf numFmtId="0" fontId="32" fillId="29" borderId="3" xfId="0" applyFont="1" applyFill="1" applyBorder="1" applyAlignment="1">
      <alignment horizontal="left" vertical="center" wrapText="1"/>
    </xf>
    <xf numFmtId="0" fontId="7" fillId="29" borderId="3" xfId="0" applyFont="1" applyFill="1" applyBorder="1" applyAlignment="1">
      <alignment horizontal="left" vertical="center" wrapText="1"/>
    </xf>
    <xf numFmtId="0" fontId="33" fillId="6" borderId="3" xfId="0" applyFont="1" applyFill="1" applyBorder="1" applyAlignment="1">
      <alignment horizontal="left" vertical="center" wrapText="1"/>
    </xf>
    <xf numFmtId="0" fontId="34" fillId="3" borderId="3" xfId="0" applyFont="1" applyFill="1" applyBorder="1" applyAlignment="1">
      <alignment horizontal="center" vertical="center" wrapText="1"/>
    </xf>
    <xf numFmtId="0" fontId="35" fillId="8" borderId="3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36" fillId="6" borderId="3" xfId="0" applyFont="1" applyFill="1" applyBorder="1" applyAlignment="1">
      <alignment horizontal="left" vertical="center" wrapText="1"/>
    </xf>
    <xf numFmtId="0" fontId="37" fillId="10" borderId="3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38" fillId="12" borderId="3" xfId="0" applyFont="1" applyFill="1" applyBorder="1" applyAlignment="1">
      <alignment horizontal="center" vertical="center" wrapText="1"/>
    </xf>
    <xf numFmtId="0" fontId="4" fillId="12" borderId="3" xfId="0" applyFont="1" applyFill="1" applyBorder="1" applyAlignment="1">
      <alignment horizontal="center" vertical="center" wrapText="1"/>
    </xf>
    <xf numFmtId="0" fontId="39" fillId="30" borderId="3" xfId="0" applyFont="1" applyFill="1" applyBorder="1" applyAlignment="1">
      <alignment horizontal="center" vertical="center" wrapText="1"/>
    </xf>
    <xf numFmtId="0" fontId="40" fillId="5" borderId="3" xfId="0" applyFont="1" applyFill="1" applyBorder="1" applyAlignment="1">
      <alignment horizontal="center" vertical="center" wrapText="1"/>
    </xf>
    <xf numFmtId="0" fontId="41" fillId="8" borderId="3" xfId="0" applyFont="1" applyFill="1" applyBorder="1" applyAlignment="1">
      <alignment horizontal="center" vertical="center" wrapText="1"/>
    </xf>
    <xf numFmtId="0" fontId="42" fillId="10" borderId="3" xfId="0" applyFont="1" applyFill="1" applyBorder="1" applyAlignment="1">
      <alignment horizontal="center" vertical="center" wrapText="1"/>
    </xf>
    <xf numFmtId="0" fontId="43" fillId="12" borderId="3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26" fillId="23" borderId="4" xfId="0" applyFont="1" applyFill="1" applyBorder="1" applyAlignment="1">
      <alignment horizontal="left" vertical="center"/>
    </xf>
    <xf numFmtId="0" fontId="26" fillId="25" borderId="4" xfId="0" applyFont="1" applyFill="1" applyBorder="1" applyAlignment="1">
      <alignment horizontal="left" vertical="center"/>
    </xf>
    <xf numFmtId="0" fontId="23" fillId="33" borderId="4" xfId="0" applyFont="1" applyFill="1" applyBorder="1" applyAlignment="1">
      <alignment horizontal="center" vertical="center"/>
    </xf>
    <xf numFmtId="0" fontId="47" fillId="25" borderId="3" xfId="0" applyFont="1" applyFill="1" applyBorder="1" applyAlignment="1">
      <alignment horizontal="left" vertical="center"/>
    </xf>
    <xf numFmtId="0" fontId="48" fillId="31" borderId="3" xfId="0" applyFont="1" applyFill="1" applyBorder="1" applyAlignment="1">
      <alignment horizontal="center" vertical="center"/>
    </xf>
    <xf numFmtId="0" fontId="48" fillId="35" borderId="3" xfId="0" applyFont="1" applyFill="1" applyBorder="1" applyAlignment="1">
      <alignment horizontal="center" vertical="center"/>
    </xf>
    <xf numFmtId="0" fontId="49" fillId="25" borderId="0" xfId="0" applyFont="1" applyFill="1" applyAlignment="1">
      <alignment horizontal="center" vertical="center"/>
    </xf>
    <xf numFmtId="0" fontId="47" fillId="36" borderId="3" xfId="0" applyFont="1" applyFill="1" applyBorder="1" applyAlignment="1">
      <alignment horizontal="left" vertical="center"/>
    </xf>
    <xf numFmtId="0" fontId="49" fillId="31" borderId="3" xfId="0" applyFont="1" applyFill="1" applyBorder="1" applyAlignment="1">
      <alignment horizontal="center" vertical="center"/>
    </xf>
    <xf numFmtId="0" fontId="49" fillId="35" borderId="3" xfId="0" applyFont="1" applyFill="1" applyBorder="1" applyAlignment="1">
      <alignment horizontal="center" vertical="center"/>
    </xf>
    <xf numFmtId="0" fontId="49" fillId="36" borderId="0" xfId="0" applyFont="1" applyFill="1" applyAlignment="1">
      <alignment horizontal="center" vertical="center"/>
    </xf>
    <xf numFmtId="0" fontId="51" fillId="37" borderId="3" xfId="0" applyFont="1" applyFill="1" applyBorder="1" applyAlignment="1">
      <alignment horizontal="center" vertical="center" wrapText="1"/>
    </xf>
    <xf numFmtId="0" fontId="52" fillId="22" borderId="3" xfId="0" applyFont="1" applyFill="1" applyBorder="1" applyAlignment="1">
      <alignment horizontal="center" vertical="center"/>
    </xf>
    <xf numFmtId="0" fontId="49" fillId="25" borderId="3" xfId="0" applyFont="1" applyFill="1" applyBorder="1" applyAlignment="1">
      <alignment horizontal="center" vertical="center"/>
    </xf>
    <xf numFmtId="0" fontId="53" fillId="31" borderId="3" xfId="0" applyFont="1" applyFill="1" applyBorder="1" applyAlignment="1">
      <alignment horizontal="center" vertical="center"/>
    </xf>
    <xf numFmtId="0" fontId="53" fillId="35" borderId="3" xfId="0" applyFont="1" applyFill="1" applyBorder="1" applyAlignment="1">
      <alignment horizontal="center" vertical="center"/>
    </xf>
    <xf numFmtId="0" fontId="48" fillId="25" borderId="3" xfId="0" applyFont="1" applyFill="1" applyBorder="1" applyAlignment="1">
      <alignment horizontal="center" vertical="center"/>
    </xf>
    <xf numFmtId="0" fontId="49" fillId="36" borderId="3" xfId="0" applyFont="1" applyFill="1" applyBorder="1" applyAlignment="1">
      <alignment horizontal="center" vertical="center"/>
    </xf>
    <xf numFmtId="0" fontId="48" fillId="36" borderId="3" xfId="0" applyFont="1" applyFill="1" applyBorder="1" applyAlignment="1">
      <alignment horizontal="center" vertical="center"/>
    </xf>
    <xf numFmtId="0" fontId="54" fillId="31" borderId="3" xfId="0" applyFont="1" applyFill="1" applyBorder="1" applyAlignment="1">
      <alignment horizontal="center" vertical="center"/>
    </xf>
    <xf numFmtId="0" fontId="54" fillId="35" borderId="3" xfId="0" applyFont="1" applyFill="1" applyBorder="1" applyAlignment="1">
      <alignment horizontal="center" vertical="center"/>
    </xf>
    <xf numFmtId="0" fontId="51" fillId="39" borderId="3" xfId="0" applyFont="1" applyFill="1" applyBorder="1" applyAlignment="1">
      <alignment horizontal="center" vertical="center" wrapText="1"/>
    </xf>
    <xf numFmtId="0" fontId="52" fillId="38" borderId="3" xfId="0" applyFont="1" applyFill="1" applyBorder="1" applyAlignment="1">
      <alignment horizontal="center" vertical="center"/>
    </xf>
    <xf numFmtId="0" fontId="0" fillId="0" borderId="3" xfId="0" applyBorder="1"/>
    <xf numFmtId="0" fontId="29" fillId="41" borderId="0" xfId="0" applyFont="1" applyFill="1" applyAlignment="1">
      <alignment horizontal="center" vertical="center" wrapText="1"/>
    </xf>
    <xf numFmtId="0" fontId="60" fillId="0" borderId="0" xfId="0" applyFont="1" applyAlignment="1">
      <alignment horizontal="center" vertical="center"/>
    </xf>
    <xf numFmtId="0" fontId="60" fillId="42" borderId="0" xfId="0" applyFont="1" applyFill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60" fillId="43" borderId="0" xfId="0" applyFont="1" applyFill="1" applyAlignment="1">
      <alignment horizontal="center" vertical="center"/>
    </xf>
    <xf numFmtId="0" fontId="61" fillId="43" borderId="0" xfId="0" applyFont="1" applyFill="1" applyAlignment="1">
      <alignment horizontal="center" vertical="center"/>
    </xf>
    <xf numFmtId="0" fontId="60" fillId="45" borderId="0" xfId="0" applyFont="1" applyFill="1" applyAlignment="1">
      <alignment horizontal="center" vertical="center"/>
    </xf>
    <xf numFmtId="0" fontId="60" fillId="46" borderId="0" xfId="0" applyFont="1" applyFill="1" applyAlignment="1">
      <alignment horizontal="center" vertical="center"/>
    </xf>
    <xf numFmtId="0" fontId="64" fillId="30" borderId="3" xfId="0" applyFont="1" applyFill="1" applyBorder="1" applyAlignment="1">
      <alignment horizontal="left" vertical="center" wrapText="1"/>
    </xf>
    <xf numFmtId="0" fontId="65" fillId="30" borderId="3" xfId="0" applyFont="1" applyFill="1" applyBorder="1" applyAlignment="1">
      <alignment horizontal="center" vertical="center" wrapText="1"/>
    </xf>
    <xf numFmtId="1" fontId="34" fillId="23" borderId="3" xfId="0" applyNumberFormat="1" applyFont="1" applyFill="1" applyBorder="1" applyAlignment="1">
      <alignment horizontal="center" vertical="center"/>
    </xf>
    <xf numFmtId="0" fontId="4" fillId="30" borderId="3" xfId="0" applyFont="1" applyFill="1" applyBorder="1" applyAlignment="1">
      <alignment horizontal="left" vertical="center" wrapText="1"/>
    </xf>
    <xf numFmtId="0" fontId="7" fillId="6" borderId="3" xfId="0" applyFont="1" applyFill="1" applyBorder="1" applyAlignment="1">
      <alignment horizontal="left" vertical="center" wrapText="1"/>
    </xf>
    <xf numFmtId="0" fontId="64" fillId="3" borderId="3" xfId="0" applyFont="1" applyFill="1" applyBorder="1" applyAlignment="1">
      <alignment horizontal="left" vertical="center" wrapText="1"/>
    </xf>
    <xf numFmtId="0" fontId="65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6" borderId="3" xfId="0" applyFont="1" applyFill="1" applyBorder="1" applyAlignment="1">
      <alignment horizontal="left" vertical="center" wrapText="1"/>
    </xf>
    <xf numFmtId="0" fontId="64" fillId="48" borderId="3" xfId="0" applyFont="1" applyFill="1" applyBorder="1" applyAlignment="1">
      <alignment horizontal="left" vertical="center" wrapText="1"/>
    </xf>
    <xf numFmtId="0" fontId="65" fillId="48" borderId="3" xfId="0" applyFont="1" applyFill="1" applyBorder="1" applyAlignment="1">
      <alignment horizontal="center" vertical="center" wrapText="1"/>
    </xf>
    <xf numFmtId="0" fontId="7" fillId="48" borderId="3" xfId="0" applyFont="1" applyFill="1" applyBorder="1" applyAlignment="1">
      <alignment horizontal="center" vertical="center" wrapText="1"/>
    </xf>
    <xf numFmtId="0" fontId="4" fillId="48" borderId="3" xfId="0" applyFont="1" applyFill="1" applyBorder="1" applyAlignment="1">
      <alignment horizontal="left" vertical="center" wrapText="1"/>
    </xf>
    <xf numFmtId="0" fontId="64" fillId="49" borderId="3" xfId="0" applyFont="1" applyFill="1" applyBorder="1" applyAlignment="1">
      <alignment horizontal="left" vertical="center" wrapText="1"/>
    </xf>
    <xf numFmtId="0" fontId="65" fillId="49" borderId="3" xfId="0" applyFont="1" applyFill="1" applyBorder="1" applyAlignment="1">
      <alignment horizontal="center" vertical="center" wrapText="1"/>
    </xf>
    <xf numFmtId="0" fontId="7" fillId="49" borderId="3" xfId="0" applyFont="1" applyFill="1" applyBorder="1" applyAlignment="1">
      <alignment horizontal="center" vertical="center" wrapText="1"/>
    </xf>
    <xf numFmtId="0" fontId="4" fillId="49" borderId="3" xfId="0" applyFont="1" applyFill="1" applyBorder="1" applyAlignment="1">
      <alignment horizontal="center" vertical="center" wrapText="1"/>
    </xf>
    <xf numFmtId="0" fontId="4" fillId="49" borderId="3" xfId="0" applyFont="1" applyFill="1" applyBorder="1" applyAlignment="1">
      <alignment horizontal="left" vertical="center" wrapText="1"/>
    </xf>
    <xf numFmtId="0" fontId="7" fillId="28" borderId="3" xfId="0" applyFont="1" applyFill="1" applyBorder="1" applyAlignment="1">
      <alignment horizontal="center" vertical="center" wrapText="1"/>
    </xf>
    <xf numFmtId="0" fontId="7" fillId="28" borderId="3" xfId="0" applyFont="1" applyFill="1" applyBorder="1" applyAlignment="1">
      <alignment horizontal="left" vertical="center" wrapText="1"/>
    </xf>
    <xf numFmtId="0" fontId="68" fillId="27" borderId="3" xfId="0" applyFont="1" applyFill="1" applyBorder="1" applyAlignment="1">
      <alignment horizontal="center" vertical="center" wrapText="1"/>
    </xf>
    <xf numFmtId="0" fontId="6" fillId="50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69" fillId="12" borderId="3" xfId="0" applyFont="1" applyFill="1" applyBorder="1" applyAlignment="1">
      <alignment horizontal="center" vertical="center" wrapText="1"/>
    </xf>
    <xf numFmtId="0" fontId="7" fillId="30" borderId="3" xfId="0" applyFont="1" applyFill="1" applyBorder="1" applyAlignment="1">
      <alignment horizontal="center" vertical="center" wrapText="1"/>
    </xf>
    <xf numFmtId="0" fontId="7" fillId="30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left" vertical="center" wrapText="1"/>
    </xf>
    <xf numFmtId="0" fontId="70" fillId="8" borderId="3" xfId="0" applyFont="1" applyFill="1" applyBorder="1" applyAlignment="1">
      <alignment horizontal="center" vertical="center" wrapText="1"/>
    </xf>
    <xf numFmtId="0" fontId="7" fillId="48" borderId="3" xfId="0" applyFont="1" applyFill="1" applyBorder="1" applyAlignment="1">
      <alignment horizontal="left" vertical="center" wrapText="1"/>
    </xf>
    <xf numFmtId="0" fontId="71" fillId="48" borderId="3" xfId="0" applyFont="1" applyFill="1" applyBorder="1" applyAlignment="1">
      <alignment horizontal="center" vertical="center" wrapText="1"/>
    </xf>
    <xf numFmtId="0" fontId="7" fillId="49" borderId="3" xfId="0" applyFont="1" applyFill="1" applyBorder="1" applyAlignment="1">
      <alignment horizontal="left" vertical="center" wrapText="1"/>
    </xf>
    <xf numFmtId="0" fontId="72" fillId="49" borderId="3" xfId="0" applyFont="1" applyFill="1" applyBorder="1" applyAlignment="1">
      <alignment horizontal="center" vertical="center" wrapText="1"/>
    </xf>
    <xf numFmtId="0" fontId="7" fillId="51" borderId="3" xfId="0" applyFont="1" applyFill="1" applyBorder="1" applyAlignment="1">
      <alignment horizontal="center" vertical="center" wrapText="1"/>
    </xf>
    <xf numFmtId="0" fontId="7" fillId="51" borderId="3" xfId="0" applyFont="1" applyFill="1" applyBorder="1" applyAlignment="1">
      <alignment horizontal="left" vertical="center" wrapText="1"/>
    </xf>
    <xf numFmtId="0" fontId="73" fillId="51" borderId="3" xfId="0" applyFont="1" applyFill="1" applyBorder="1" applyAlignment="1">
      <alignment horizontal="center" vertical="center" wrapText="1"/>
    </xf>
    <xf numFmtId="0" fontId="23" fillId="14" borderId="6" xfId="0" applyFont="1" applyFill="1" applyBorder="1" applyAlignment="1">
      <alignment horizontal="center" vertical="center"/>
    </xf>
    <xf numFmtId="0" fontId="24" fillId="25" borderId="6" xfId="0" applyFont="1" applyFill="1" applyBorder="1" applyAlignment="1">
      <alignment horizontal="center" vertical="center"/>
    </xf>
    <xf numFmtId="0" fontId="25" fillId="25" borderId="6" xfId="0" applyFont="1" applyFill="1" applyBorder="1" applyAlignment="1">
      <alignment horizontal="left" vertical="center"/>
    </xf>
    <xf numFmtId="0" fontId="78" fillId="57" borderId="0" xfId="0" applyFont="1" applyFill="1" applyAlignment="1">
      <alignment horizontal="center" vertical="center" wrapText="1"/>
    </xf>
    <xf numFmtId="0" fontId="78" fillId="58" borderId="0" xfId="0" applyFont="1" applyFill="1" applyAlignment="1">
      <alignment horizontal="center" vertical="center" wrapText="1"/>
    </xf>
    <xf numFmtId="0" fontId="78" fillId="59" borderId="0" xfId="0" applyFont="1" applyFill="1" applyAlignment="1">
      <alignment horizontal="center" vertical="center" wrapText="1"/>
    </xf>
    <xf numFmtId="0" fontId="78" fillId="60" borderId="0" xfId="0" applyFont="1" applyFill="1" applyAlignment="1">
      <alignment horizontal="center" vertical="center" wrapText="1"/>
    </xf>
    <xf numFmtId="0" fontId="77" fillId="61" borderId="17" xfId="0" applyFont="1" applyFill="1" applyBorder="1" applyAlignment="1">
      <alignment horizontal="center" vertical="center"/>
    </xf>
    <xf numFmtId="0" fontId="77" fillId="62" borderId="17" xfId="0" applyFont="1" applyFill="1" applyBorder="1" applyAlignment="1">
      <alignment horizontal="center" vertical="center"/>
    </xf>
    <xf numFmtId="0" fontId="76" fillId="53" borderId="0" xfId="0" applyFont="1" applyFill="1" applyAlignment="1">
      <alignment horizontal="left" vertical="center"/>
    </xf>
    <xf numFmtId="0" fontId="76" fillId="53" borderId="0" xfId="0" applyFont="1" applyFill="1"/>
    <xf numFmtId="0" fontId="76" fillId="54" borderId="17" xfId="0" applyFont="1" applyFill="1" applyBorder="1" applyAlignment="1">
      <alignment horizontal="center" vertical="center" wrapText="1"/>
    </xf>
    <xf numFmtId="0" fontId="76" fillId="54" borderId="17" xfId="0" applyFont="1" applyFill="1" applyBorder="1" applyAlignment="1">
      <alignment horizontal="center" vertical="center"/>
    </xf>
    <xf numFmtId="0" fontId="77" fillId="55" borderId="17" xfId="0" applyFont="1" applyFill="1" applyBorder="1" applyAlignment="1">
      <alignment horizontal="center" vertical="center"/>
    </xf>
    <xf numFmtId="0" fontId="77" fillId="56" borderId="17" xfId="0" applyFont="1" applyFill="1" applyBorder="1" applyAlignment="1">
      <alignment horizontal="center" vertical="center"/>
    </xf>
    <xf numFmtId="0" fontId="0" fillId="0" borderId="0" xfId="0"/>
    <xf numFmtId="0" fontId="22" fillId="14" borderId="4" xfId="0" applyFont="1" applyFill="1" applyBorder="1" applyAlignment="1">
      <alignment horizontal="center" vertical="center" wrapText="1"/>
    </xf>
    <xf numFmtId="176" fontId="34" fillId="23" borderId="3" xfId="0" applyNumberFormat="1" applyFont="1" applyFill="1" applyBorder="1" applyAlignment="1">
      <alignment horizontal="center" vertical="center"/>
    </xf>
    <xf numFmtId="177" fontId="77" fillId="55" borderId="17" xfId="0" applyNumberFormat="1" applyFont="1" applyFill="1" applyBorder="1" applyAlignment="1">
      <alignment horizontal="center" vertical="center"/>
    </xf>
    <xf numFmtId="177" fontId="77" fillId="56" borderId="17" xfId="0" applyNumberFormat="1" applyFont="1" applyFill="1" applyBorder="1" applyAlignment="1">
      <alignment horizontal="center" vertical="center"/>
    </xf>
    <xf numFmtId="0" fontId="79" fillId="63" borderId="18" xfId="0" applyFont="1" applyFill="1" applyBorder="1" applyAlignment="1">
      <alignment horizontal="center" vertical="center" wrapText="1"/>
    </xf>
    <xf numFmtId="0" fontId="79" fillId="64" borderId="18" xfId="0" applyFont="1" applyFill="1" applyBorder="1" applyAlignment="1">
      <alignment horizontal="center" vertical="center" wrapText="1"/>
    </xf>
    <xf numFmtId="0" fontId="80" fillId="0" borderId="18" xfId="0" applyFont="1" applyBorder="1" applyAlignment="1">
      <alignment horizontal="center" vertical="center" wrapText="1"/>
    </xf>
    <xf numFmtId="0" fontId="0" fillId="65" borderId="0" xfId="0" applyFill="1"/>
    <xf numFmtId="0" fontId="15" fillId="65" borderId="3" xfId="0" applyFont="1" applyFill="1" applyBorder="1" applyAlignment="1">
      <alignment horizontal="center" vertical="center"/>
    </xf>
    <xf numFmtId="0" fontId="29" fillId="63" borderId="5" xfId="0" applyFont="1" applyFill="1" applyBorder="1" applyAlignment="1">
      <alignment horizontal="center" vertical="center" wrapText="1"/>
    </xf>
    <xf numFmtId="0" fontId="67" fillId="63" borderId="5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0" fillId="0" borderId="9" xfId="0" applyBorder="1"/>
    <xf numFmtId="0" fontId="4" fillId="5" borderId="2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indent="1"/>
    </xf>
    <xf numFmtId="0" fontId="0" fillId="0" borderId="10" xfId="0" applyBorder="1"/>
    <xf numFmtId="0" fontId="3" fillId="9" borderId="1" xfId="0" applyFont="1" applyFill="1" applyBorder="1" applyAlignment="1">
      <alignment horizontal="left" vertical="center" indent="1"/>
    </xf>
    <xf numFmtId="0" fontId="4" fillId="12" borderId="2" xfId="0" applyFont="1" applyFill="1" applyBorder="1" applyAlignment="1">
      <alignment horizontal="left" vertical="center" wrapText="1"/>
    </xf>
    <xf numFmtId="0" fontId="4" fillId="12" borderId="2" xfId="0" applyFont="1" applyFill="1" applyBorder="1" applyAlignment="1">
      <alignment horizontal="left" vertical="center"/>
    </xf>
    <xf numFmtId="0" fontId="8" fillId="6" borderId="2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left" vertical="center" indent="1"/>
    </xf>
    <xf numFmtId="0" fontId="4" fillId="8" borderId="2" xfId="0" applyFont="1" applyFill="1" applyBorder="1" applyAlignment="1">
      <alignment horizontal="left" vertical="center"/>
    </xf>
    <xf numFmtId="0" fontId="10" fillId="8" borderId="2" xfId="0" applyFont="1" applyFill="1" applyBorder="1" applyAlignment="1">
      <alignment horizontal="left" vertical="center"/>
    </xf>
    <xf numFmtId="0" fontId="11" fillId="10" borderId="2" xfId="0" applyFont="1" applyFill="1" applyBorder="1" applyAlignment="1">
      <alignment horizontal="left" vertical="center"/>
    </xf>
    <xf numFmtId="0" fontId="4" fillId="10" borderId="2" xfId="0" applyFont="1" applyFill="1" applyBorder="1" applyAlignment="1">
      <alignment horizontal="left" vertical="center" wrapText="1"/>
    </xf>
    <xf numFmtId="0" fontId="13" fillId="2" borderId="2" xfId="0" applyFont="1" applyFill="1" applyBorder="1" applyAlignment="1">
      <alignment horizontal="left" vertical="center" inden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5" borderId="2" xfId="0" applyFont="1" applyFill="1" applyBorder="1" applyAlignment="1">
      <alignment horizontal="left" vertical="center" wrapText="1"/>
    </xf>
    <xf numFmtId="0" fontId="12" fillId="12" borderId="2" xfId="0" applyFont="1" applyFill="1" applyBorder="1" applyAlignment="1">
      <alignment horizontal="left" vertical="center"/>
    </xf>
    <xf numFmtId="0" fontId="4" fillId="10" borderId="2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 indent="1"/>
    </xf>
    <xf numFmtId="0" fontId="5" fillId="5" borderId="2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 wrapText="1" indent="1"/>
    </xf>
    <xf numFmtId="0" fontId="16" fillId="6" borderId="0" xfId="0" applyFont="1" applyFill="1" applyAlignment="1">
      <alignment horizontal="left" vertical="center" wrapText="1"/>
    </xf>
    <xf numFmtId="0" fontId="14" fillId="18" borderId="0" xfId="0" applyFont="1" applyFill="1" applyAlignment="1">
      <alignment horizontal="center" vertical="center"/>
    </xf>
    <xf numFmtId="0" fontId="13" fillId="13" borderId="0" xfId="0" applyFont="1" applyFill="1" applyAlignment="1">
      <alignment horizontal="left" vertical="center" indent="1"/>
    </xf>
    <xf numFmtId="0" fontId="13" fillId="21" borderId="0" xfId="0" applyFont="1" applyFill="1" applyAlignment="1">
      <alignment horizontal="left" vertical="center" indent="1"/>
    </xf>
    <xf numFmtId="0" fontId="13" fillId="19" borderId="0" xfId="0" applyFont="1" applyFill="1" applyAlignment="1">
      <alignment horizontal="left" vertical="center" indent="1"/>
    </xf>
    <xf numFmtId="0" fontId="13" fillId="16" borderId="0" xfId="0" applyFont="1" applyFill="1" applyAlignment="1">
      <alignment horizontal="left" vertical="center" indent="1"/>
    </xf>
    <xf numFmtId="0" fontId="17" fillId="6" borderId="0" xfId="0" applyFont="1" applyFill="1" applyAlignment="1">
      <alignment horizontal="left" vertical="center" wrapText="1"/>
    </xf>
    <xf numFmtId="0" fontId="13" fillId="20" borderId="0" xfId="0" applyFont="1" applyFill="1" applyAlignment="1">
      <alignment horizontal="left" vertical="center" indent="1"/>
    </xf>
    <xf numFmtId="0" fontId="26" fillId="27" borderId="4" xfId="0" applyFont="1" applyFill="1" applyBorder="1" applyAlignment="1">
      <alignment horizontal="left" vertical="center" wrapText="1"/>
    </xf>
    <xf numFmtId="0" fontId="0" fillId="0" borderId="11" xfId="0" applyBorder="1"/>
    <xf numFmtId="0" fontId="0" fillId="0" borderId="12" xfId="0" applyBorder="1"/>
    <xf numFmtId="0" fontId="22" fillId="14" borderId="4" xfId="0" applyFont="1" applyFill="1" applyBorder="1" applyAlignment="1">
      <alignment horizontal="center" vertical="center" wrapText="1"/>
    </xf>
    <xf numFmtId="0" fontId="21" fillId="23" borderId="0" xfId="0" applyFont="1" applyFill="1" applyAlignment="1">
      <alignment horizontal="center" vertical="center" wrapText="1"/>
    </xf>
    <xf numFmtId="0" fontId="26" fillId="25" borderId="4" xfId="0" applyFont="1" applyFill="1" applyBorder="1" applyAlignment="1">
      <alignment horizontal="left" vertical="center" wrapText="1"/>
    </xf>
    <xf numFmtId="0" fontId="0" fillId="0" borderId="14" xfId="0" applyBorder="1"/>
    <xf numFmtId="0" fontId="27" fillId="26" borderId="4" xfId="0" applyFont="1" applyFill="1" applyBorder="1" applyAlignment="1">
      <alignment horizontal="center" vertical="center" wrapText="1"/>
    </xf>
    <xf numFmtId="0" fontId="18" fillId="22" borderId="0" xfId="0" applyFont="1" applyFill="1" applyAlignment="1">
      <alignment horizontal="center" vertical="center" wrapText="1"/>
    </xf>
    <xf numFmtId="0" fontId="75" fillId="52" borderId="13" xfId="0" applyFont="1" applyFill="1" applyBorder="1" applyAlignment="1">
      <alignment horizontal="center" wrapText="1"/>
    </xf>
    <xf numFmtId="0" fontId="0" fillId="0" borderId="7" xfId="0" applyBorder="1"/>
    <xf numFmtId="0" fontId="0" fillId="0" borderId="8" xfId="0" applyBorder="1"/>
    <xf numFmtId="0" fontId="29" fillId="2" borderId="2" xfId="0" applyFont="1" applyFill="1" applyBorder="1" applyAlignment="1">
      <alignment horizontal="left" vertical="center" indent="1"/>
    </xf>
    <xf numFmtId="0" fontId="45" fillId="27" borderId="4" xfId="0" applyFont="1" applyFill="1" applyBorder="1" applyAlignment="1">
      <alignment horizontal="left" vertical="center" wrapText="1"/>
    </xf>
    <xf numFmtId="0" fontId="22" fillId="33" borderId="4" xfId="0" applyFont="1" applyFill="1" applyBorder="1" applyAlignment="1">
      <alignment horizontal="center" vertical="center" wrapText="1"/>
    </xf>
    <xf numFmtId="0" fontId="18" fillId="32" borderId="0" xfId="0" applyFont="1" applyFill="1" applyAlignment="1">
      <alignment horizontal="center" vertical="center" wrapText="1"/>
    </xf>
    <xf numFmtId="0" fontId="44" fillId="23" borderId="0" xfId="0" applyFont="1" applyFill="1" applyAlignment="1">
      <alignment horizontal="center" vertical="center" wrapText="1"/>
    </xf>
    <xf numFmtId="0" fontId="56" fillId="40" borderId="3" xfId="0" applyFont="1" applyFill="1" applyBorder="1" applyAlignment="1">
      <alignment horizontal="left" vertical="center" wrapText="1"/>
    </xf>
    <xf numFmtId="0" fontId="0" fillId="0" borderId="15" xfId="0" applyBorder="1"/>
    <xf numFmtId="0" fontId="13" fillId="34" borderId="3" xfId="0" applyFont="1" applyFill="1" applyBorder="1" applyAlignment="1">
      <alignment horizontal="center" vertical="center" wrapText="1"/>
    </xf>
    <xf numFmtId="0" fontId="57" fillId="40" borderId="3" xfId="0" applyFont="1" applyFill="1" applyBorder="1" applyAlignment="1">
      <alignment horizontal="left" vertical="center" wrapText="1"/>
    </xf>
    <xf numFmtId="0" fontId="50" fillId="22" borderId="3" xfId="0" applyFont="1" applyFill="1" applyBorder="1" applyAlignment="1">
      <alignment horizontal="center" vertical="center" wrapText="1"/>
    </xf>
    <xf numFmtId="0" fontId="3" fillId="22" borderId="0" xfId="0" applyFont="1" applyFill="1" applyAlignment="1">
      <alignment horizontal="center" vertical="center" wrapText="1"/>
    </xf>
    <xf numFmtId="0" fontId="50" fillId="38" borderId="3" xfId="0" applyFont="1" applyFill="1" applyBorder="1" applyAlignment="1">
      <alignment horizontal="center" vertical="center" wrapText="1"/>
    </xf>
    <xf numFmtId="0" fontId="29" fillId="34" borderId="3" xfId="0" applyFont="1" applyFill="1" applyBorder="1" applyAlignment="1">
      <alignment horizontal="center" vertical="center" wrapText="1"/>
    </xf>
    <xf numFmtId="0" fontId="0" fillId="0" borderId="16" xfId="0" applyBorder="1"/>
    <xf numFmtId="0" fontId="46" fillId="23" borderId="0" xfId="0" applyFont="1" applyFill="1" applyAlignment="1">
      <alignment horizontal="center" vertical="center" wrapText="1"/>
    </xf>
    <xf numFmtId="0" fontId="55" fillId="3" borderId="3" xfId="0" applyFont="1" applyFill="1" applyBorder="1" applyAlignment="1">
      <alignment horizontal="left" vertical="center" wrapText="1"/>
    </xf>
    <xf numFmtId="0" fontId="13" fillId="22" borderId="0" xfId="0" applyFont="1" applyFill="1" applyAlignment="1">
      <alignment horizontal="center" vertical="center" wrapText="1"/>
    </xf>
    <xf numFmtId="0" fontId="13" fillId="38" borderId="0" xfId="0" applyFont="1" applyFill="1" applyAlignment="1">
      <alignment horizontal="center" vertical="center" wrapText="1"/>
    </xf>
    <xf numFmtId="0" fontId="58" fillId="65" borderId="0" xfId="0" applyFont="1" applyFill="1" applyAlignment="1">
      <alignment horizontal="center" vertical="center"/>
    </xf>
    <xf numFmtId="0" fontId="62" fillId="44" borderId="0" xfId="0" applyFont="1" applyFill="1"/>
    <xf numFmtId="0" fontId="59" fillId="0" borderId="0" xfId="0" applyFont="1" applyAlignment="1">
      <alignment horizontal="center"/>
    </xf>
    <xf numFmtId="0" fontId="2" fillId="47" borderId="0" xfId="0" applyFont="1" applyFill="1" applyAlignment="1">
      <alignment horizontal="left" vertical="center" wrapText="1" indent="1"/>
    </xf>
    <xf numFmtId="0" fontId="63" fillId="65" borderId="0" xfId="0" applyFont="1" applyFill="1" applyAlignment="1">
      <alignment horizontal="center" vertical="center"/>
    </xf>
    <xf numFmtId="0" fontId="66" fillId="65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392B"/>
      <rgbColor rgb="FFF2F3F4"/>
      <rgbColor rgb="FF1A5276"/>
      <rgbColor rgb="FFFDEBD0"/>
      <rgbColor rgb="FFFDF2F8"/>
      <rgbColor rgb="FFEBF5FB"/>
      <rgbColor rgb="FFF9F9F9"/>
      <rgbColor rgb="FF1B516B"/>
      <rgbColor rgb="FF1A1A1A"/>
      <rgbColor rgb="FF947809"/>
      <rgbColor rgb="FF2B3D56"/>
      <rgbColor rgb="FF0F6B6B"/>
      <rgbColor rgb="FFBBBBBB"/>
      <rgbColor rgb="FF2A6C90"/>
      <rgbColor rgb="FFEAF2FB"/>
      <rgbColor rgb="FF783891"/>
      <rgbColor rgb="FFFFF8E1"/>
      <rgbColor rgb="FFE3F2FD"/>
      <rgbColor rgb="FF4C245B"/>
      <rgbColor rgb="FFFFEEEE"/>
      <rgbColor rgb="FF206492"/>
      <rgbColor rgb="FFCCCCCC"/>
      <rgbColor rgb="FF1A3A4A"/>
      <rgbColor rgb="FFF5F5F5"/>
      <rgbColor rgb="FFFEF9E7"/>
      <rgbColor rgb="FFEBF3FB"/>
      <rgbColor rgb="FFF8F9FA"/>
      <rgbColor rgb="FFFAFAFA"/>
      <rgbColor rgb="FF1E8449"/>
      <rgbColor rgb="FFFDFEFE"/>
      <rgbColor rgb="FFF0F6FF"/>
      <rgbColor rgb="FFE8F8F5"/>
      <rgbColor rgb="FFD5F5E3"/>
      <rgbColor rgb="FFFFF3CD"/>
      <rgbColor rgb="FFD6EAF8"/>
      <rgbColor rgb="FFFADBD8"/>
      <rgbColor rgb="FFF4ECF7"/>
      <rgbColor rgb="FFFFCCCC"/>
      <rgbColor rgb="FF2E84B7"/>
      <rgbColor rgb="FFE8F4FD"/>
      <rgbColor rgb="FFE8F5E9"/>
      <rgbColor rgb="FFFDEDEC"/>
      <rgbColor rgb="FFB78F0B"/>
      <rgbColor rgb="FFBF3C0F"/>
      <rgbColor rgb="FF565660"/>
      <rgbColor rgb="FF9D9D9D"/>
      <rgbColor rgb="FF1B3A5C"/>
      <rgbColor rgb="FF1B9057"/>
      <rgbColor rgb="FF17202A"/>
      <rgbColor rgb="FF1B2732"/>
      <rgbColor rgb="FF782D0C"/>
      <rgbColor rgb="FF7D3C98"/>
      <rgbColor rgb="FF393E6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balance_plan_v6.xlsx" TargetMode="External"/><Relationship Id="rId3" Type="http://schemas.openxmlformats.org/officeDocument/2006/relationships/hyperlink" Target="balance_plan_v6.xlsx" TargetMode="External"/><Relationship Id="rId7" Type="http://schemas.openxmlformats.org/officeDocument/2006/relationships/hyperlink" Target="balance_plan_v6.xlsx" TargetMode="External"/><Relationship Id="rId2" Type="http://schemas.openxmlformats.org/officeDocument/2006/relationships/hyperlink" Target="balance_plan_v6.xlsx" TargetMode="External"/><Relationship Id="rId1" Type="http://schemas.openxmlformats.org/officeDocument/2006/relationships/hyperlink" Target="balance_plan_v6.xlsx" TargetMode="External"/><Relationship Id="rId6" Type="http://schemas.openxmlformats.org/officeDocument/2006/relationships/hyperlink" Target="balance_plan_v6.xlsx" TargetMode="External"/><Relationship Id="rId11" Type="http://schemas.openxmlformats.org/officeDocument/2006/relationships/hyperlink" Target="balance_plan_v6.xlsx" TargetMode="External"/><Relationship Id="rId5" Type="http://schemas.openxmlformats.org/officeDocument/2006/relationships/hyperlink" Target="balance_plan_v6.xlsx" TargetMode="External"/><Relationship Id="rId10" Type="http://schemas.openxmlformats.org/officeDocument/2006/relationships/hyperlink" Target="balance_plan_v6.xlsx" TargetMode="External"/><Relationship Id="rId4" Type="http://schemas.openxmlformats.org/officeDocument/2006/relationships/hyperlink" Target="balance_plan_v6.xlsx" TargetMode="External"/><Relationship Id="rId9" Type="http://schemas.openxmlformats.org/officeDocument/2006/relationships/hyperlink" Target="balance_plan_v6.xls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balance_plan_v6.xlsx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balance_plan_v6.xlsx" TargetMode="External"/><Relationship Id="rId21" Type="http://schemas.openxmlformats.org/officeDocument/2006/relationships/hyperlink" Target="balance_plan_v6.xlsx" TargetMode="External"/><Relationship Id="rId42" Type="http://schemas.openxmlformats.org/officeDocument/2006/relationships/hyperlink" Target="balance_plan_v6.xlsx" TargetMode="External"/><Relationship Id="rId47" Type="http://schemas.openxmlformats.org/officeDocument/2006/relationships/hyperlink" Target="balance_plan_v6.xlsx" TargetMode="External"/><Relationship Id="rId63" Type="http://schemas.openxmlformats.org/officeDocument/2006/relationships/hyperlink" Target="balance_plan_v6.xlsx" TargetMode="External"/><Relationship Id="rId68" Type="http://schemas.openxmlformats.org/officeDocument/2006/relationships/hyperlink" Target="balance_plan_v6.xlsx" TargetMode="External"/><Relationship Id="rId7" Type="http://schemas.openxmlformats.org/officeDocument/2006/relationships/hyperlink" Target="balance_plan_v6.xlsx" TargetMode="External"/><Relationship Id="rId71" Type="http://schemas.openxmlformats.org/officeDocument/2006/relationships/hyperlink" Target="balance_plan_v6.xlsx" TargetMode="External"/><Relationship Id="rId2" Type="http://schemas.openxmlformats.org/officeDocument/2006/relationships/hyperlink" Target="balance_plan_v6.xlsx" TargetMode="External"/><Relationship Id="rId16" Type="http://schemas.openxmlformats.org/officeDocument/2006/relationships/hyperlink" Target="balance_plan_v6.xlsx" TargetMode="External"/><Relationship Id="rId29" Type="http://schemas.openxmlformats.org/officeDocument/2006/relationships/hyperlink" Target="balance_plan_v6.xlsx" TargetMode="External"/><Relationship Id="rId11" Type="http://schemas.openxmlformats.org/officeDocument/2006/relationships/hyperlink" Target="balance_plan_v6.xlsx" TargetMode="External"/><Relationship Id="rId24" Type="http://schemas.openxmlformats.org/officeDocument/2006/relationships/hyperlink" Target="balance_plan_v6.xlsx" TargetMode="External"/><Relationship Id="rId32" Type="http://schemas.openxmlformats.org/officeDocument/2006/relationships/hyperlink" Target="balance_plan_v6.xlsx" TargetMode="External"/><Relationship Id="rId37" Type="http://schemas.openxmlformats.org/officeDocument/2006/relationships/hyperlink" Target="balance_plan_v6.xlsx" TargetMode="External"/><Relationship Id="rId40" Type="http://schemas.openxmlformats.org/officeDocument/2006/relationships/hyperlink" Target="balance_plan_v6.xlsx" TargetMode="External"/><Relationship Id="rId45" Type="http://schemas.openxmlformats.org/officeDocument/2006/relationships/hyperlink" Target="balance_plan_v6.xlsx" TargetMode="External"/><Relationship Id="rId53" Type="http://schemas.openxmlformats.org/officeDocument/2006/relationships/hyperlink" Target="balance_plan_v6.xlsx" TargetMode="External"/><Relationship Id="rId58" Type="http://schemas.openxmlformats.org/officeDocument/2006/relationships/hyperlink" Target="balance_plan_v6.xlsx" TargetMode="External"/><Relationship Id="rId66" Type="http://schemas.openxmlformats.org/officeDocument/2006/relationships/hyperlink" Target="balance_plan_v6.xlsx" TargetMode="External"/><Relationship Id="rId5" Type="http://schemas.openxmlformats.org/officeDocument/2006/relationships/hyperlink" Target="balance_plan_v6.xlsx" TargetMode="External"/><Relationship Id="rId61" Type="http://schemas.openxmlformats.org/officeDocument/2006/relationships/hyperlink" Target="balance_plan_v6.xlsx" TargetMode="External"/><Relationship Id="rId19" Type="http://schemas.openxmlformats.org/officeDocument/2006/relationships/hyperlink" Target="balance_plan_v6.xlsx" TargetMode="External"/><Relationship Id="rId14" Type="http://schemas.openxmlformats.org/officeDocument/2006/relationships/hyperlink" Target="balance_plan_v6.xlsx" TargetMode="External"/><Relationship Id="rId22" Type="http://schemas.openxmlformats.org/officeDocument/2006/relationships/hyperlink" Target="balance_plan_v6.xlsx" TargetMode="External"/><Relationship Id="rId27" Type="http://schemas.openxmlformats.org/officeDocument/2006/relationships/hyperlink" Target="balance_plan_v6.xlsx" TargetMode="External"/><Relationship Id="rId30" Type="http://schemas.openxmlformats.org/officeDocument/2006/relationships/hyperlink" Target="balance_plan_v6.xlsx" TargetMode="External"/><Relationship Id="rId35" Type="http://schemas.openxmlformats.org/officeDocument/2006/relationships/hyperlink" Target="balance_plan_v6.xlsx" TargetMode="External"/><Relationship Id="rId43" Type="http://schemas.openxmlformats.org/officeDocument/2006/relationships/hyperlink" Target="balance_plan_v6.xlsx" TargetMode="External"/><Relationship Id="rId48" Type="http://schemas.openxmlformats.org/officeDocument/2006/relationships/hyperlink" Target="balance_plan_v6.xlsx" TargetMode="External"/><Relationship Id="rId56" Type="http://schemas.openxmlformats.org/officeDocument/2006/relationships/hyperlink" Target="balance_plan_v6.xlsx" TargetMode="External"/><Relationship Id="rId64" Type="http://schemas.openxmlformats.org/officeDocument/2006/relationships/hyperlink" Target="balance_plan_v6.xlsx" TargetMode="External"/><Relationship Id="rId69" Type="http://schemas.openxmlformats.org/officeDocument/2006/relationships/hyperlink" Target="balance_plan_v6.xlsx" TargetMode="External"/><Relationship Id="rId8" Type="http://schemas.openxmlformats.org/officeDocument/2006/relationships/hyperlink" Target="balance_plan_v6.xlsx" TargetMode="External"/><Relationship Id="rId51" Type="http://schemas.openxmlformats.org/officeDocument/2006/relationships/hyperlink" Target="balance_plan_v6.xlsx" TargetMode="External"/><Relationship Id="rId72" Type="http://schemas.openxmlformats.org/officeDocument/2006/relationships/hyperlink" Target="balance_plan_v6.xlsx" TargetMode="External"/><Relationship Id="rId3" Type="http://schemas.openxmlformats.org/officeDocument/2006/relationships/hyperlink" Target="balance_plan_v6.xlsx" TargetMode="External"/><Relationship Id="rId12" Type="http://schemas.openxmlformats.org/officeDocument/2006/relationships/hyperlink" Target="balance_plan_v6.xlsx" TargetMode="External"/><Relationship Id="rId17" Type="http://schemas.openxmlformats.org/officeDocument/2006/relationships/hyperlink" Target="balance_plan_v6.xlsx" TargetMode="External"/><Relationship Id="rId25" Type="http://schemas.openxmlformats.org/officeDocument/2006/relationships/hyperlink" Target="balance_plan_v6.xlsx" TargetMode="External"/><Relationship Id="rId33" Type="http://schemas.openxmlformats.org/officeDocument/2006/relationships/hyperlink" Target="balance_plan_v6.xlsx" TargetMode="External"/><Relationship Id="rId38" Type="http://schemas.openxmlformats.org/officeDocument/2006/relationships/hyperlink" Target="balance_plan_v6.xlsx" TargetMode="External"/><Relationship Id="rId46" Type="http://schemas.openxmlformats.org/officeDocument/2006/relationships/hyperlink" Target="balance_plan_v6.xlsx" TargetMode="External"/><Relationship Id="rId59" Type="http://schemas.openxmlformats.org/officeDocument/2006/relationships/hyperlink" Target="balance_plan_v6.xlsx" TargetMode="External"/><Relationship Id="rId67" Type="http://schemas.openxmlformats.org/officeDocument/2006/relationships/hyperlink" Target="balance_plan_v6.xlsx" TargetMode="External"/><Relationship Id="rId20" Type="http://schemas.openxmlformats.org/officeDocument/2006/relationships/hyperlink" Target="balance_plan_v6.xlsx" TargetMode="External"/><Relationship Id="rId41" Type="http://schemas.openxmlformats.org/officeDocument/2006/relationships/hyperlink" Target="balance_plan_v6.xlsx" TargetMode="External"/><Relationship Id="rId54" Type="http://schemas.openxmlformats.org/officeDocument/2006/relationships/hyperlink" Target="balance_plan_v6.xlsx" TargetMode="External"/><Relationship Id="rId62" Type="http://schemas.openxmlformats.org/officeDocument/2006/relationships/hyperlink" Target="balance_plan_v6.xlsx" TargetMode="External"/><Relationship Id="rId70" Type="http://schemas.openxmlformats.org/officeDocument/2006/relationships/hyperlink" Target="balance_plan_v6.xlsx" TargetMode="External"/><Relationship Id="rId1" Type="http://schemas.openxmlformats.org/officeDocument/2006/relationships/hyperlink" Target="balance_plan_v6.xlsx" TargetMode="External"/><Relationship Id="rId6" Type="http://schemas.openxmlformats.org/officeDocument/2006/relationships/hyperlink" Target="balance_plan_v6.xlsx" TargetMode="External"/><Relationship Id="rId15" Type="http://schemas.openxmlformats.org/officeDocument/2006/relationships/hyperlink" Target="balance_plan_v6.xlsx" TargetMode="External"/><Relationship Id="rId23" Type="http://schemas.openxmlformats.org/officeDocument/2006/relationships/hyperlink" Target="balance_plan_v6.xlsx" TargetMode="External"/><Relationship Id="rId28" Type="http://schemas.openxmlformats.org/officeDocument/2006/relationships/hyperlink" Target="balance_plan_v6.xlsx" TargetMode="External"/><Relationship Id="rId36" Type="http://schemas.openxmlformats.org/officeDocument/2006/relationships/hyperlink" Target="balance_plan_v6.xlsx" TargetMode="External"/><Relationship Id="rId49" Type="http://schemas.openxmlformats.org/officeDocument/2006/relationships/hyperlink" Target="balance_plan_v6.xlsx" TargetMode="External"/><Relationship Id="rId57" Type="http://schemas.openxmlformats.org/officeDocument/2006/relationships/hyperlink" Target="balance_plan_v6.xlsx" TargetMode="External"/><Relationship Id="rId10" Type="http://schemas.openxmlformats.org/officeDocument/2006/relationships/hyperlink" Target="balance_plan_v6.xlsx" TargetMode="External"/><Relationship Id="rId31" Type="http://schemas.openxmlformats.org/officeDocument/2006/relationships/hyperlink" Target="balance_plan_v6.xlsx" TargetMode="External"/><Relationship Id="rId44" Type="http://schemas.openxmlformats.org/officeDocument/2006/relationships/hyperlink" Target="balance_plan_v6.xlsx" TargetMode="External"/><Relationship Id="rId52" Type="http://schemas.openxmlformats.org/officeDocument/2006/relationships/hyperlink" Target="balance_plan_v6.xlsx" TargetMode="External"/><Relationship Id="rId60" Type="http://schemas.openxmlformats.org/officeDocument/2006/relationships/hyperlink" Target="balance_plan_v6.xlsx" TargetMode="External"/><Relationship Id="rId65" Type="http://schemas.openxmlformats.org/officeDocument/2006/relationships/hyperlink" Target="balance_plan_v6.xlsx" TargetMode="External"/><Relationship Id="rId4" Type="http://schemas.openxmlformats.org/officeDocument/2006/relationships/hyperlink" Target="balance_plan_v6.xlsx" TargetMode="External"/><Relationship Id="rId9" Type="http://schemas.openxmlformats.org/officeDocument/2006/relationships/hyperlink" Target="balance_plan_v6.xlsx" TargetMode="External"/><Relationship Id="rId13" Type="http://schemas.openxmlformats.org/officeDocument/2006/relationships/hyperlink" Target="balance_plan_v6.xlsx" TargetMode="External"/><Relationship Id="rId18" Type="http://schemas.openxmlformats.org/officeDocument/2006/relationships/hyperlink" Target="balance_plan_v6.xlsx" TargetMode="External"/><Relationship Id="rId39" Type="http://schemas.openxmlformats.org/officeDocument/2006/relationships/hyperlink" Target="balance_plan_v6.xlsx" TargetMode="External"/><Relationship Id="rId34" Type="http://schemas.openxmlformats.org/officeDocument/2006/relationships/hyperlink" Target="balance_plan_v6.xlsx" TargetMode="External"/><Relationship Id="rId50" Type="http://schemas.openxmlformats.org/officeDocument/2006/relationships/hyperlink" Target="balance_plan_v6.xlsx" TargetMode="External"/><Relationship Id="rId55" Type="http://schemas.openxmlformats.org/officeDocument/2006/relationships/hyperlink" Target="balance_plan_v6.xlsx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balance_plan_v6.xlsx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balance_plan_v6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showGridLines="0" tabSelected="1" topLeftCell="A11" zoomScaleNormal="100" workbookViewId="0">
      <selection activeCell="I24" sqref="I24"/>
    </sheetView>
  </sheetViews>
  <sheetFormatPr defaultColWidth="8.7109375" defaultRowHeight="15"/>
  <cols>
    <col min="1" max="1" width="22.42578125" style="129" customWidth="1"/>
    <col min="2" max="2" width="17.5703125" style="129" customWidth="1"/>
    <col min="3" max="3" width="16.5703125" style="129" customWidth="1"/>
    <col min="4" max="4" width="36" style="129" customWidth="1"/>
    <col min="5" max="5" width="14.85546875" style="129" customWidth="1"/>
    <col min="6" max="6" width="16.140625" style="129" customWidth="1"/>
    <col min="7" max="7" width="16.5703125" style="129" customWidth="1"/>
  </cols>
  <sheetData>
    <row r="1" spans="1:7" ht="39.75" customHeight="1">
      <c r="A1" s="157" t="s">
        <v>0</v>
      </c>
      <c r="B1" s="158"/>
      <c r="C1" s="158"/>
      <c r="D1" s="158"/>
      <c r="E1" s="158"/>
      <c r="F1" s="158"/>
      <c r="G1" s="158"/>
    </row>
    <row r="2" spans="1:7" ht="18" customHeight="1">
      <c r="A2" s="164" t="s">
        <v>1</v>
      </c>
      <c r="B2" s="158"/>
      <c r="C2" s="158"/>
      <c r="D2" s="158"/>
      <c r="E2" s="158"/>
      <c r="F2" s="158"/>
      <c r="G2" s="158"/>
    </row>
    <row r="4" spans="1:7" ht="31.5" customHeight="1">
      <c r="A4" s="144" t="s">
        <v>2</v>
      </c>
      <c r="B4" s="145"/>
      <c r="C4" s="145"/>
      <c r="D4" s="145"/>
      <c r="E4" s="145"/>
      <c r="F4" s="145"/>
      <c r="G4" s="145"/>
    </row>
    <row r="5" spans="1:7" ht="19.5" customHeight="1">
      <c r="A5" s="143" t="s">
        <v>3</v>
      </c>
      <c r="B5" s="142"/>
      <c r="C5" s="142"/>
      <c r="D5" s="142"/>
      <c r="E5" s="142"/>
      <c r="F5" s="142"/>
      <c r="G5" s="142"/>
    </row>
    <row r="6" spans="1:7" ht="19.5" customHeight="1">
      <c r="A6" s="163" t="s">
        <v>4</v>
      </c>
      <c r="B6" s="142"/>
      <c r="C6" s="142"/>
      <c r="D6" s="159" t="s">
        <v>5</v>
      </c>
      <c r="E6" s="142"/>
      <c r="F6" s="142"/>
      <c r="G6" s="142"/>
    </row>
    <row r="7" spans="1:7" ht="18.75" customHeight="1">
      <c r="A7" s="141" t="s">
        <v>6</v>
      </c>
      <c r="B7" s="142"/>
      <c r="C7" s="142"/>
      <c r="D7" s="142"/>
      <c r="E7" s="142"/>
      <c r="F7" s="142"/>
      <c r="G7" s="1"/>
    </row>
    <row r="8" spans="1:7" ht="18.75" customHeight="1">
      <c r="A8" s="149" t="s">
        <v>7</v>
      </c>
      <c r="B8" s="142"/>
      <c r="C8" s="142"/>
      <c r="D8" s="142"/>
      <c r="E8" s="142"/>
      <c r="F8" s="142"/>
      <c r="G8" s="1"/>
    </row>
    <row r="9" spans="1:7" ht="18.75" customHeight="1">
      <c r="A9" s="149" t="s">
        <v>8</v>
      </c>
      <c r="B9" s="142"/>
      <c r="C9" s="142"/>
      <c r="D9" s="142"/>
      <c r="E9" s="142"/>
      <c r="F9" s="142"/>
      <c r="G9" s="1"/>
    </row>
    <row r="10" spans="1:7" ht="18.75" customHeight="1">
      <c r="A10" s="149" t="s">
        <v>9</v>
      </c>
      <c r="B10" s="142"/>
      <c r="C10" s="142"/>
      <c r="D10" s="142"/>
      <c r="E10" s="142"/>
      <c r="F10" s="142"/>
      <c r="G10" s="2" t="s">
        <v>10</v>
      </c>
    </row>
    <row r="12" spans="1:7" ht="31.5" customHeight="1">
      <c r="A12" s="162" t="s">
        <v>11</v>
      </c>
      <c r="B12" s="145"/>
      <c r="C12" s="145"/>
      <c r="D12" s="145"/>
      <c r="E12" s="145"/>
      <c r="F12" s="145"/>
      <c r="G12" s="145"/>
    </row>
    <row r="13" spans="1:7" ht="19.5" customHeight="1">
      <c r="A13" s="152" t="s">
        <v>12</v>
      </c>
      <c r="B13" s="142"/>
      <c r="C13" s="142"/>
      <c r="D13" s="142"/>
      <c r="E13" s="142"/>
      <c r="F13" s="142"/>
      <c r="G13" s="142"/>
    </row>
    <row r="14" spans="1:7" ht="19.5" customHeight="1">
      <c r="A14" s="153" t="s">
        <v>4</v>
      </c>
      <c r="B14" s="142"/>
      <c r="C14" s="142"/>
      <c r="D14" s="150" t="s">
        <v>13</v>
      </c>
      <c r="E14" s="142"/>
      <c r="F14" s="142"/>
      <c r="G14" s="142"/>
    </row>
    <row r="15" spans="1:7" ht="18.75" customHeight="1">
      <c r="A15" s="149" t="s">
        <v>14</v>
      </c>
      <c r="B15" s="142"/>
      <c r="C15" s="142"/>
      <c r="D15" s="142"/>
      <c r="E15" s="142"/>
      <c r="F15" s="142"/>
      <c r="G15" s="1"/>
    </row>
    <row r="16" spans="1:7" ht="18.75" customHeight="1">
      <c r="A16" s="141" t="s">
        <v>15</v>
      </c>
      <c r="B16" s="142"/>
      <c r="C16" s="142"/>
      <c r="D16" s="142"/>
      <c r="E16" s="142"/>
      <c r="F16" s="142"/>
      <c r="G16" s="1"/>
    </row>
    <row r="17" spans="1:7" ht="18.75" customHeight="1">
      <c r="A17" s="149" t="s">
        <v>16</v>
      </c>
      <c r="B17" s="142"/>
      <c r="C17" s="142"/>
      <c r="D17" s="142"/>
      <c r="E17" s="142"/>
      <c r="F17" s="142"/>
      <c r="G17" s="1"/>
    </row>
    <row r="18" spans="1:7" ht="18.75" customHeight="1">
      <c r="A18" s="149" t="s">
        <v>17</v>
      </c>
      <c r="B18" s="142"/>
      <c r="C18" s="142"/>
      <c r="D18" s="142"/>
      <c r="E18" s="142"/>
      <c r="F18" s="142"/>
      <c r="G18" s="3" t="s">
        <v>10</v>
      </c>
    </row>
    <row r="20" spans="1:7" ht="31.5" customHeight="1">
      <c r="A20" s="146" t="s">
        <v>18</v>
      </c>
      <c r="B20" s="145"/>
      <c r="C20" s="145"/>
      <c r="D20" s="145"/>
      <c r="E20" s="145"/>
      <c r="F20" s="145"/>
      <c r="G20" s="145"/>
    </row>
    <row r="21" spans="1:7" ht="19.5" customHeight="1">
      <c r="A21" s="161" t="s">
        <v>19</v>
      </c>
      <c r="B21" s="142"/>
      <c r="C21" s="142"/>
      <c r="D21" s="142"/>
      <c r="E21" s="142"/>
      <c r="F21" s="142"/>
      <c r="G21" s="142"/>
    </row>
    <row r="22" spans="1:7" ht="19.5" customHeight="1">
      <c r="A22" s="154" t="s">
        <v>4</v>
      </c>
      <c r="B22" s="142"/>
      <c r="C22" s="142"/>
      <c r="D22" s="155" t="s">
        <v>20</v>
      </c>
      <c r="E22" s="142"/>
      <c r="F22" s="142"/>
      <c r="G22" s="142"/>
    </row>
    <row r="23" spans="1:7" ht="18.75" customHeight="1">
      <c r="A23" s="141" t="s">
        <v>21</v>
      </c>
      <c r="B23" s="142"/>
      <c r="C23" s="142"/>
      <c r="D23" s="142"/>
      <c r="E23" s="142"/>
      <c r="F23" s="142"/>
      <c r="G23" s="1"/>
    </row>
    <row r="24" spans="1:7" ht="18.75" customHeight="1">
      <c r="A24" s="149" t="s">
        <v>22</v>
      </c>
      <c r="B24" s="142"/>
      <c r="C24" s="142"/>
      <c r="D24" s="142"/>
      <c r="E24" s="142"/>
      <c r="F24" s="142"/>
      <c r="G24" s="1"/>
    </row>
    <row r="25" spans="1:7" ht="18.75" customHeight="1">
      <c r="A25" s="149" t="s">
        <v>23</v>
      </c>
      <c r="B25" s="142"/>
      <c r="C25" s="142"/>
      <c r="D25" s="142"/>
      <c r="E25" s="142"/>
      <c r="F25" s="142"/>
      <c r="G25" s="1"/>
    </row>
    <row r="26" spans="1:7" ht="18.75" customHeight="1">
      <c r="A26" s="149" t="s">
        <v>24</v>
      </c>
      <c r="B26" s="142"/>
      <c r="C26" s="142"/>
      <c r="D26" s="142"/>
      <c r="E26" s="142"/>
      <c r="F26" s="142"/>
      <c r="G26" s="4" t="s">
        <v>10</v>
      </c>
    </row>
    <row r="28" spans="1:7" ht="31.5" customHeight="1">
      <c r="A28" s="151" t="s">
        <v>25</v>
      </c>
      <c r="B28" s="145"/>
      <c r="C28" s="145"/>
      <c r="D28" s="145"/>
      <c r="E28" s="145"/>
      <c r="F28" s="145"/>
      <c r="G28" s="145"/>
    </row>
    <row r="29" spans="1:7" ht="19.5" customHeight="1">
      <c r="A29" s="148" t="s">
        <v>26</v>
      </c>
      <c r="B29" s="142"/>
      <c r="C29" s="142"/>
      <c r="D29" s="142"/>
      <c r="E29" s="142"/>
      <c r="F29" s="142"/>
      <c r="G29" s="142"/>
    </row>
    <row r="30" spans="1:7" ht="19.5" customHeight="1">
      <c r="A30" s="160" t="s">
        <v>4</v>
      </c>
      <c r="B30" s="142"/>
      <c r="C30" s="142"/>
      <c r="D30" s="147" t="s">
        <v>27</v>
      </c>
      <c r="E30" s="142"/>
      <c r="F30" s="142"/>
      <c r="G30" s="142"/>
    </row>
    <row r="31" spans="1:7" ht="18.75" customHeight="1">
      <c r="A31" s="149" t="s">
        <v>28</v>
      </c>
      <c r="B31" s="142"/>
      <c r="C31" s="142"/>
      <c r="D31" s="142"/>
      <c r="E31" s="142"/>
      <c r="F31" s="142"/>
      <c r="G31" s="1"/>
    </row>
    <row r="32" spans="1:7" ht="18.75" customHeight="1">
      <c r="A32" s="149" t="s">
        <v>29</v>
      </c>
      <c r="B32" s="142"/>
      <c r="C32" s="142"/>
      <c r="D32" s="142"/>
      <c r="E32" s="142"/>
      <c r="F32" s="142"/>
      <c r="G32" s="1"/>
    </row>
    <row r="33" spans="1:7" ht="18.75" customHeight="1">
      <c r="A33" s="141" t="s">
        <v>30</v>
      </c>
      <c r="B33" s="142"/>
      <c r="C33" s="142"/>
      <c r="D33" s="142"/>
      <c r="E33" s="142"/>
      <c r="F33" s="142"/>
      <c r="G33" s="1"/>
    </row>
    <row r="34" spans="1:7" ht="18.75" customHeight="1">
      <c r="A34" s="149" t="s">
        <v>31</v>
      </c>
      <c r="B34" s="142"/>
      <c r="C34" s="142"/>
      <c r="D34" s="142"/>
      <c r="E34" s="142"/>
      <c r="F34" s="142"/>
      <c r="G34" s="5" t="s">
        <v>10</v>
      </c>
    </row>
    <row r="36" spans="1:7" ht="25.5" customHeight="1">
      <c r="A36" s="156" t="s">
        <v>32</v>
      </c>
      <c r="B36" s="142"/>
      <c r="C36" s="142"/>
      <c r="D36" s="142"/>
      <c r="E36" s="142"/>
      <c r="F36" s="142"/>
      <c r="G36" s="142"/>
    </row>
    <row r="37" spans="1:7" ht="24" customHeight="1">
      <c r="A37" s="6" t="s">
        <v>33</v>
      </c>
      <c r="B37" s="7" t="s">
        <v>34</v>
      </c>
      <c r="C37" s="8" t="s">
        <v>35</v>
      </c>
      <c r="D37" s="9" t="s">
        <v>36</v>
      </c>
      <c r="E37" s="10" t="s">
        <v>37</v>
      </c>
      <c r="F37" s="8" t="s">
        <v>38</v>
      </c>
      <c r="G37" s="11" t="s">
        <v>39</v>
      </c>
    </row>
  </sheetData>
  <mergeCells count="35">
    <mergeCell ref="A36:G36"/>
    <mergeCell ref="A10:F10"/>
    <mergeCell ref="A1:G1"/>
    <mergeCell ref="D6:G6"/>
    <mergeCell ref="A9:F9"/>
    <mergeCell ref="A31:F31"/>
    <mergeCell ref="A34:F34"/>
    <mergeCell ref="A30:C30"/>
    <mergeCell ref="A15:F15"/>
    <mergeCell ref="A24:F24"/>
    <mergeCell ref="A21:G21"/>
    <mergeCell ref="A12:G12"/>
    <mergeCell ref="A6:C6"/>
    <mergeCell ref="A2:G2"/>
    <mergeCell ref="A7:F7"/>
    <mergeCell ref="A25:F25"/>
    <mergeCell ref="A33:F33"/>
    <mergeCell ref="A13:G13"/>
    <mergeCell ref="A14:C14"/>
    <mergeCell ref="A23:F23"/>
    <mergeCell ref="A32:F32"/>
    <mergeCell ref="A22:C22"/>
    <mergeCell ref="A17:F17"/>
    <mergeCell ref="D22:G22"/>
    <mergeCell ref="A16:F16"/>
    <mergeCell ref="A5:G5"/>
    <mergeCell ref="A4:G4"/>
    <mergeCell ref="A20:G20"/>
    <mergeCell ref="D30:G30"/>
    <mergeCell ref="A29:G29"/>
    <mergeCell ref="A18:F18"/>
    <mergeCell ref="A26:F26"/>
    <mergeCell ref="D14:G14"/>
    <mergeCell ref="A28:G28"/>
    <mergeCell ref="A8:F8"/>
  </mergeCells>
  <phoneticPr fontId="74" type="noConversion"/>
  <hyperlinks>
    <hyperlink ref="G10" r:id="rId1" location="📌%20기획%20의도!A1" xr:uid="{00000000-0004-0000-0000-000000000000}"/>
    <hyperlink ref="G18" r:id="rId2" location="🗡️%20전리품%20제작!A1" xr:uid="{00000000-0004-0000-0000-000001000000}"/>
    <hyperlink ref="G26" r:id="rId3" location="🏰%20던전%20코어%20제작!A1" xr:uid="{00000000-0004-0000-0000-000002000000}"/>
    <hyperlink ref="G34" r:id="rId4" location="🎲%20드랍률%20설계!A1" xr:uid="{00000000-0004-0000-0000-000003000000}"/>
    <hyperlink ref="A37" r:id="rId5" location="📌%20기획%20의도!A1" xr:uid="{00000000-0004-0000-0000-000004000000}"/>
    <hyperlink ref="B37" r:id="rId6" location="📐%20수량%20계산%20근거!A1" xr:uid="{00000000-0004-0000-0000-000005000000}"/>
    <hyperlink ref="C37" r:id="rId7" location="🗡️%20전리품%20제작!A1" xr:uid="{00000000-0004-0000-0000-000006000000}"/>
    <hyperlink ref="D37" r:id="rId8" location="🏰%20던전%20코어%20제작!A1" xr:uid="{00000000-0004-0000-0000-000007000000}"/>
    <hyperlink ref="E37" r:id="rId9" location="🎲%20드랍률%20설계!A1" xr:uid="{00000000-0004-0000-0000-000008000000}"/>
    <hyperlink ref="F37" r:id="rId10" location="✅%20Craft%20수량%20반영안!A1" xr:uid="{00000000-0004-0000-0000-000009000000}"/>
    <hyperlink ref="G37" r:id="rId11" location="📋%20장비%20아이템%20리스트!A1" xr:uid="{00000000-0004-0000-0000-00000A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4"/>
  <sheetViews>
    <sheetView showGridLines="0" zoomScaleNormal="100" workbookViewId="0">
      <selection activeCell="A13" sqref="A13:G13"/>
    </sheetView>
  </sheetViews>
  <sheetFormatPr defaultColWidth="8.7109375" defaultRowHeight="15"/>
  <cols>
    <col min="1" max="1" width="27.28515625" style="129" customWidth="1"/>
    <col min="2" max="2" width="8.28515625" style="129" customWidth="1"/>
    <col min="3" max="3" width="34" style="129" customWidth="1"/>
    <col min="4" max="7" width="20.42578125" style="129" customWidth="1"/>
    <col min="8" max="8" width="18" style="129" customWidth="1"/>
  </cols>
  <sheetData>
    <row r="1" spans="1:8" ht="45.75" customHeight="1">
      <c r="A1" s="166" t="s">
        <v>40</v>
      </c>
      <c r="B1" s="158"/>
      <c r="C1" s="158"/>
      <c r="D1" s="158"/>
      <c r="E1" s="158"/>
      <c r="F1" s="158"/>
      <c r="G1" s="158"/>
      <c r="H1" s="12" t="s">
        <v>41</v>
      </c>
    </row>
    <row r="2" spans="1:8" ht="6" customHeight="1">
      <c r="A2" s="158"/>
      <c r="B2" s="158"/>
      <c r="C2" s="158"/>
      <c r="D2" s="158"/>
      <c r="E2" s="158"/>
      <c r="F2" s="158"/>
      <c r="G2" s="158"/>
    </row>
    <row r="4" spans="1:8" ht="25.5" customHeight="1">
      <c r="A4" s="167" t="s">
        <v>42</v>
      </c>
      <c r="B4" s="158"/>
      <c r="C4" s="158"/>
      <c r="D4" s="158"/>
      <c r="E4" s="158"/>
      <c r="F4" s="158"/>
      <c r="G4" s="158"/>
    </row>
    <row r="5" spans="1:8" ht="19.5" customHeight="1">
      <c r="A5" s="165" t="s">
        <v>43</v>
      </c>
      <c r="B5" s="158"/>
      <c r="C5" s="158"/>
      <c r="D5" s="158"/>
      <c r="E5" s="158"/>
      <c r="F5" s="158"/>
      <c r="G5" s="158"/>
    </row>
    <row r="6" spans="1:8" ht="19.5" customHeight="1">
      <c r="A6" s="165" t="s">
        <v>44</v>
      </c>
      <c r="B6" s="158"/>
      <c r="C6" s="158"/>
      <c r="D6" s="158"/>
      <c r="E6" s="158"/>
      <c r="F6" s="158"/>
      <c r="G6" s="158"/>
    </row>
    <row r="7" spans="1:8" ht="19.5" customHeight="1">
      <c r="A7" s="165" t="s">
        <v>45</v>
      </c>
      <c r="B7" s="158"/>
      <c r="C7" s="158"/>
      <c r="D7" s="158"/>
      <c r="E7" s="158"/>
      <c r="F7" s="158"/>
      <c r="G7" s="158"/>
    </row>
    <row r="9" spans="1:8" ht="25.5" customHeight="1">
      <c r="A9" s="169" t="s">
        <v>46</v>
      </c>
      <c r="B9" s="158"/>
      <c r="C9" s="158"/>
      <c r="D9" s="158"/>
      <c r="E9" s="158"/>
      <c r="F9" s="158"/>
      <c r="G9" s="158"/>
    </row>
    <row r="10" spans="1:8" ht="19.5" customHeight="1">
      <c r="A10" s="165" t="s">
        <v>47</v>
      </c>
      <c r="B10" s="158"/>
      <c r="C10" s="158"/>
      <c r="D10" s="158"/>
      <c r="E10" s="158"/>
      <c r="F10" s="158"/>
      <c r="G10" s="158"/>
    </row>
    <row r="11" spans="1:8" ht="19.5" customHeight="1">
      <c r="A11" s="165" t="s">
        <v>48</v>
      </c>
      <c r="B11" s="158"/>
      <c r="C11" s="158"/>
      <c r="D11" s="158"/>
      <c r="E11" s="158"/>
      <c r="F11" s="158"/>
      <c r="G11" s="158"/>
    </row>
    <row r="12" spans="1:8" ht="19.5" customHeight="1">
      <c r="A12" s="165" t="s">
        <v>49</v>
      </c>
      <c r="B12" s="158"/>
      <c r="C12" s="158"/>
      <c r="D12" s="158"/>
      <c r="E12" s="158"/>
      <c r="F12" s="158"/>
      <c r="G12" s="158"/>
    </row>
    <row r="13" spans="1:8" ht="19.5" customHeight="1">
      <c r="A13" s="165" t="s">
        <v>50</v>
      </c>
      <c r="B13" s="158"/>
      <c r="C13" s="158"/>
      <c r="D13" s="158"/>
      <c r="E13" s="158"/>
      <c r="F13" s="158"/>
      <c r="G13" s="158"/>
    </row>
    <row r="14" spans="1:8" ht="19.5" customHeight="1">
      <c r="A14" s="165" t="s">
        <v>51</v>
      </c>
      <c r="B14" s="158"/>
      <c r="C14" s="158"/>
      <c r="D14" s="158"/>
      <c r="E14" s="158"/>
      <c r="F14" s="158"/>
      <c r="G14" s="158"/>
    </row>
    <row r="16" spans="1:8" ht="25.5" customHeight="1">
      <c r="A16" s="170" t="s">
        <v>52</v>
      </c>
      <c r="B16" s="158"/>
      <c r="C16" s="158"/>
      <c r="D16" s="158"/>
      <c r="E16" s="158"/>
      <c r="F16" s="158"/>
      <c r="G16" s="158"/>
    </row>
    <row r="17" spans="1:7" ht="19.5" customHeight="1">
      <c r="A17" s="165" t="s">
        <v>53</v>
      </c>
      <c r="B17" s="158"/>
      <c r="C17" s="158"/>
      <c r="D17" s="158"/>
      <c r="E17" s="158"/>
      <c r="F17" s="158"/>
      <c r="G17" s="158"/>
    </row>
    <row r="18" spans="1:7" ht="19.5" customHeight="1">
      <c r="A18" s="171" t="s">
        <v>54</v>
      </c>
      <c r="B18" s="158"/>
      <c r="C18" s="158"/>
      <c r="D18" s="158"/>
      <c r="E18" s="158"/>
      <c r="F18" s="158"/>
      <c r="G18" s="158"/>
    </row>
    <row r="19" spans="1:7" ht="19.5" customHeight="1">
      <c r="A19" s="165" t="s">
        <v>55</v>
      </c>
      <c r="B19" s="158"/>
      <c r="C19" s="158"/>
      <c r="D19" s="158"/>
      <c r="E19" s="158"/>
      <c r="F19" s="158"/>
      <c r="G19" s="158"/>
    </row>
    <row r="20" spans="1:7" ht="19.5" customHeight="1">
      <c r="A20" s="165" t="s">
        <v>56</v>
      </c>
      <c r="B20" s="158"/>
      <c r="C20" s="158"/>
      <c r="D20" s="158"/>
      <c r="E20" s="158"/>
      <c r="F20" s="158"/>
      <c r="G20" s="158"/>
    </row>
    <row r="21" spans="1:7" ht="19.5" customHeight="1">
      <c r="A21" s="165" t="s">
        <v>57</v>
      </c>
      <c r="B21" s="158"/>
      <c r="C21" s="158"/>
      <c r="D21" s="158"/>
      <c r="E21" s="158"/>
      <c r="F21" s="158"/>
      <c r="G21" s="158"/>
    </row>
    <row r="23" spans="1:7" ht="25.5" customHeight="1">
      <c r="A23" s="172" t="s">
        <v>58</v>
      </c>
      <c r="B23" s="158"/>
      <c r="C23" s="158"/>
      <c r="D23" s="158"/>
      <c r="E23" s="158"/>
      <c r="F23" s="158"/>
      <c r="G23" s="158"/>
    </row>
    <row r="24" spans="1:7" ht="19.5" customHeight="1">
      <c r="A24" s="165" t="s">
        <v>59</v>
      </c>
      <c r="B24" s="158"/>
      <c r="C24" s="158"/>
      <c r="D24" s="158"/>
      <c r="E24" s="158"/>
      <c r="F24" s="158"/>
      <c r="G24" s="158"/>
    </row>
    <row r="25" spans="1:7" ht="19.5" customHeight="1">
      <c r="A25" s="165" t="s">
        <v>60</v>
      </c>
      <c r="B25" s="158"/>
      <c r="C25" s="158"/>
      <c r="D25" s="158"/>
      <c r="E25" s="158"/>
      <c r="F25" s="158"/>
      <c r="G25" s="158"/>
    </row>
    <row r="26" spans="1:7" ht="19.5" customHeight="1">
      <c r="A26" s="165" t="s">
        <v>61</v>
      </c>
      <c r="B26" s="158"/>
      <c r="C26" s="158"/>
      <c r="D26" s="158"/>
      <c r="E26" s="158"/>
      <c r="F26" s="158"/>
      <c r="G26" s="158"/>
    </row>
    <row r="28" spans="1:7" ht="25.5" customHeight="1">
      <c r="A28" s="168" t="s">
        <v>62</v>
      </c>
      <c r="B28" s="158"/>
      <c r="C28" s="158"/>
      <c r="D28" s="158"/>
      <c r="E28" s="158"/>
      <c r="F28" s="158"/>
      <c r="G28" s="158"/>
    </row>
    <row r="29" spans="1:7" ht="19.5" customHeight="1">
      <c r="A29" s="165" t="s">
        <v>63</v>
      </c>
      <c r="B29" s="158"/>
      <c r="C29" s="158"/>
      <c r="D29" s="158"/>
      <c r="E29" s="158"/>
      <c r="F29" s="158"/>
      <c r="G29" s="158"/>
    </row>
    <row r="30" spans="1:7" ht="19.5" customHeight="1">
      <c r="A30" s="165" t="s">
        <v>64</v>
      </c>
      <c r="B30" s="158"/>
      <c r="C30" s="158"/>
      <c r="D30" s="158"/>
      <c r="E30" s="158"/>
      <c r="F30" s="158"/>
      <c r="G30" s="158"/>
    </row>
    <row r="31" spans="1:7" ht="19.5" customHeight="1">
      <c r="A31" s="165" t="s">
        <v>65</v>
      </c>
      <c r="B31" s="158"/>
      <c r="C31" s="158"/>
      <c r="D31" s="158"/>
      <c r="E31" s="158"/>
      <c r="F31" s="158"/>
      <c r="G31" s="158"/>
    </row>
    <row r="32" spans="1:7" ht="19.5" customHeight="1">
      <c r="A32" s="165" t="s">
        <v>66</v>
      </c>
      <c r="B32" s="158"/>
      <c r="C32" s="158"/>
      <c r="D32" s="158"/>
      <c r="E32" s="158"/>
      <c r="F32" s="158"/>
      <c r="G32" s="158"/>
    </row>
    <row r="33" spans="1:7" ht="19.5" customHeight="1">
      <c r="A33" s="165" t="s">
        <v>67</v>
      </c>
      <c r="B33" s="158"/>
      <c r="C33" s="158"/>
      <c r="D33" s="158"/>
      <c r="E33" s="158"/>
      <c r="F33" s="158"/>
      <c r="G33" s="158"/>
    </row>
    <row r="34" spans="1:7" ht="19.5" customHeight="1">
      <c r="A34" s="165" t="s">
        <v>68</v>
      </c>
      <c r="B34" s="158"/>
      <c r="C34" s="158"/>
      <c r="D34" s="158"/>
      <c r="E34" s="158"/>
      <c r="F34" s="158"/>
      <c r="G34" s="158"/>
    </row>
  </sheetData>
  <mergeCells count="28">
    <mergeCell ref="A34:G34"/>
    <mergeCell ref="A30:G30"/>
    <mergeCell ref="A24:G24"/>
    <mergeCell ref="A11:G11"/>
    <mergeCell ref="A6:G6"/>
    <mergeCell ref="A16:G16"/>
    <mergeCell ref="A7:G7"/>
    <mergeCell ref="A25:G25"/>
    <mergeCell ref="A18:G18"/>
    <mergeCell ref="A21:G21"/>
    <mergeCell ref="A12:G12"/>
    <mergeCell ref="A26:G26"/>
    <mergeCell ref="A33:G33"/>
    <mergeCell ref="A23:G23"/>
    <mergeCell ref="A32:G32"/>
    <mergeCell ref="A14:G14"/>
    <mergeCell ref="A17:G17"/>
    <mergeCell ref="A1:G2"/>
    <mergeCell ref="A4:G4"/>
    <mergeCell ref="A20:G20"/>
    <mergeCell ref="A29:G29"/>
    <mergeCell ref="A19:G19"/>
    <mergeCell ref="A10:G10"/>
    <mergeCell ref="A28:G28"/>
    <mergeCell ref="A13:G13"/>
    <mergeCell ref="A9:G9"/>
    <mergeCell ref="A31:G31"/>
    <mergeCell ref="A5:G5"/>
  </mergeCells>
  <phoneticPr fontId="74" type="noConversion"/>
  <hyperlinks>
    <hyperlink ref="H1" r:id="rId1" location="🗺️%20제작%20방식%20개요!A1" xr:uid="{00000000-0004-0000-01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"/>
  <sheetViews>
    <sheetView showGridLines="0" zoomScaleNormal="100" workbookViewId="0">
      <selection activeCell="J11" sqref="J11"/>
    </sheetView>
  </sheetViews>
  <sheetFormatPr defaultColWidth="8.7109375" defaultRowHeight="15"/>
  <cols>
    <col min="1" max="1" width="60" style="129" customWidth="1"/>
    <col min="2" max="2" width="51" style="129" customWidth="1"/>
    <col min="3" max="3" width="13" style="129" customWidth="1"/>
    <col min="4" max="4" width="12" style="129" customWidth="1"/>
    <col min="5" max="5" width="13" style="129" customWidth="1"/>
    <col min="6" max="6" width="14.140625" style="129" customWidth="1"/>
    <col min="7" max="7" width="12" style="129" customWidth="1"/>
    <col min="8" max="8" width="13" style="129" customWidth="1"/>
    <col min="9" max="9" width="29.85546875" style="129" customWidth="1"/>
    <col min="10" max="10" width="18" style="129" customWidth="1"/>
  </cols>
  <sheetData>
    <row r="1" spans="1:10" ht="27.75" customHeight="1">
      <c r="A1" s="181" t="s">
        <v>69</v>
      </c>
      <c r="B1" s="158"/>
      <c r="C1" s="158"/>
      <c r="D1" s="158"/>
      <c r="E1" s="158"/>
      <c r="F1" s="158"/>
      <c r="G1" s="158"/>
      <c r="H1" s="158"/>
      <c r="I1" s="44" t="s">
        <v>41</v>
      </c>
      <c r="J1" s="13"/>
    </row>
    <row r="2" spans="1:10" ht="15.75" customHeight="1">
      <c r="A2" s="177" t="s">
        <v>70</v>
      </c>
      <c r="B2" s="158"/>
      <c r="C2" s="158"/>
      <c r="D2" s="158"/>
      <c r="E2" s="158"/>
      <c r="F2" s="158"/>
      <c r="G2" s="158"/>
      <c r="H2" s="158"/>
      <c r="I2" s="158"/>
      <c r="J2" s="13"/>
    </row>
    <row r="3" spans="1:10" ht="33.75" customHeight="1">
      <c r="A3" s="176" t="s">
        <v>71</v>
      </c>
      <c r="B3" s="176" t="s">
        <v>72</v>
      </c>
      <c r="C3" s="176" t="s">
        <v>73</v>
      </c>
      <c r="D3" s="176" t="s">
        <v>74</v>
      </c>
      <c r="E3" s="175"/>
      <c r="F3" s="176" t="s">
        <v>75</v>
      </c>
      <c r="G3" s="175"/>
      <c r="H3" s="130" t="s">
        <v>76</v>
      </c>
      <c r="I3" s="176" t="s">
        <v>77</v>
      </c>
      <c r="J3" s="13"/>
    </row>
    <row r="4" spans="1:10" ht="19.5" customHeight="1">
      <c r="A4" s="179"/>
      <c r="B4" s="179"/>
      <c r="C4" s="179"/>
      <c r="D4" s="14" t="s">
        <v>78</v>
      </c>
      <c r="E4" s="14" t="s">
        <v>79</v>
      </c>
      <c r="F4" s="14" t="s">
        <v>78</v>
      </c>
      <c r="G4" s="14" t="s">
        <v>79</v>
      </c>
      <c r="H4" s="15"/>
      <c r="I4" s="179"/>
      <c r="J4" s="13"/>
    </row>
    <row r="5" spans="1:10" ht="21.75" customHeight="1">
      <c r="A5" s="16" t="s">
        <v>80</v>
      </c>
      <c r="B5" s="17" t="s">
        <v>81</v>
      </c>
      <c r="C5" s="17" t="s">
        <v>81</v>
      </c>
      <c r="D5" s="17" t="s">
        <v>81</v>
      </c>
      <c r="E5" s="17" t="s">
        <v>81</v>
      </c>
      <c r="F5" s="17">
        <v>2</v>
      </c>
      <c r="G5" s="17">
        <v>1</v>
      </c>
      <c r="H5" s="17">
        <f t="shared" ref="H5:H11" si="0">F5*10</f>
        <v>20</v>
      </c>
      <c r="I5" s="18" t="s">
        <v>82</v>
      </c>
      <c r="J5" s="13"/>
    </row>
    <row r="6" spans="1:10" ht="21.75" customHeight="1">
      <c r="A6" s="16" t="s">
        <v>83</v>
      </c>
      <c r="B6" s="19" t="s">
        <v>84</v>
      </c>
      <c r="C6" s="19" t="s">
        <v>85</v>
      </c>
      <c r="D6" s="19">
        <v>10</v>
      </c>
      <c r="E6" s="19">
        <v>5</v>
      </c>
      <c r="F6" s="19">
        <v>20</v>
      </c>
      <c r="G6" s="19">
        <v>10</v>
      </c>
      <c r="H6" s="17">
        <f t="shared" si="0"/>
        <v>200</v>
      </c>
      <c r="I6" s="20" t="s">
        <v>86</v>
      </c>
      <c r="J6" s="13"/>
    </row>
    <row r="7" spans="1:10" ht="21.75" customHeight="1">
      <c r="A7" s="16" t="s">
        <v>87</v>
      </c>
      <c r="B7" s="17" t="s">
        <v>88</v>
      </c>
      <c r="C7" s="17" t="s">
        <v>89</v>
      </c>
      <c r="D7" s="17">
        <v>20</v>
      </c>
      <c r="E7" s="17">
        <v>10</v>
      </c>
      <c r="F7" s="17">
        <v>40</v>
      </c>
      <c r="G7" s="17">
        <v>20</v>
      </c>
      <c r="H7" s="17">
        <f t="shared" si="0"/>
        <v>400</v>
      </c>
      <c r="I7" s="18" t="s">
        <v>90</v>
      </c>
      <c r="J7" s="13"/>
    </row>
    <row r="8" spans="1:10" ht="21.75" customHeight="1">
      <c r="A8" s="16" t="s">
        <v>91</v>
      </c>
      <c r="B8" s="19" t="s">
        <v>92</v>
      </c>
      <c r="C8" s="19" t="s">
        <v>93</v>
      </c>
      <c r="D8" s="19">
        <v>30</v>
      </c>
      <c r="E8" s="19">
        <v>15</v>
      </c>
      <c r="F8" s="19">
        <v>60</v>
      </c>
      <c r="G8" s="19">
        <v>30</v>
      </c>
      <c r="H8" s="17">
        <f t="shared" si="0"/>
        <v>600</v>
      </c>
      <c r="I8" s="20" t="s">
        <v>94</v>
      </c>
      <c r="J8" s="13"/>
    </row>
    <row r="9" spans="1:10" ht="21.75" customHeight="1">
      <c r="A9" s="16" t="s">
        <v>95</v>
      </c>
      <c r="B9" s="17" t="s">
        <v>96</v>
      </c>
      <c r="C9" s="17" t="s">
        <v>97</v>
      </c>
      <c r="D9" s="17">
        <v>50</v>
      </c>
      <c r="E9" s="17">
        <v>25</v>
      </c>
      <c r="F9" s="17">
        <v>100</v>
      </c>
      <c r="G9" s="17">
        <v>50</v>
      </c>
      <c r="H9" s="17">
        <f t="shared" si="0"/>
        <v>1000</v>
      </c>
      <c r="I9" s="18" t="s">
        <v>98</v>
      </c>
      <c r="J9" s="13"/>
    </row>
    <row r="10" spans="1:10" ht="21.75" customHeight="1">
      <c r="A10" s="16" t="s">
        <v>99</v>
      </c>
      <c r="B10" s="19" t="s">
        <v>100</v>
      </c>
      <c r="C10" s="19" t="s">
        <v>101</v>
      </c>
      <c r="D10" s="19">
        <v>100</v>
      </c>
      <c r="E10" s="19">
        <v>50</v>
      </c>
      <c r="F10" s="19">
        <v>200</v>
      </c>
      <c r="G10" s="19">
        <v>100</v>
      </c>
      <c r="H10" s="17">
        <f t="shared" si="0"/>
        <v>2000</v>
      </c>
      <c r="I10" s="20" t="s">
        <v>102</v>
      </c>
      <c r="J10" s="13"/>
    </row>
    <row r="11" spans="1:10" ht="21.75" customHeight="1">
      <c r="A11" s="114" t="s">
        <v>103</v>
      </c>
      <c r="B11" s="115" t="s">
        <v>104</v>
      </c>
      <c r="C11" s="115" t="s">
        <v>105</v>
      </c>
      <c r="D11" s="115">
        <v>200</v>
      </c>
      <c r="E11" s="115">
        <v>100</v>
      </c>
      <c r="F11" s="115">
        <v>400</v>
      </c>
      <c r="G11" s="115">
        <v>200</v>
      </c>
      <c r="H11" s="115">
        <f t="shared" si="0"/>
        <v>4000</v>
      </c>
      <c r="I11" s="116" t="s">
        <v>106</v>
      </c>
      <c r="J11" s="13"/>
    </row>
    <row r="12" spans="1:10" ht="33" customHeight="1">
      <c r="A12" s="182" t="s">
        <v>107</v>
      </c>
      <c r="B12" s="183"/>
      <c r="C12" s="183"/>
      <c r="D12" s="183"/>
      <c r="E12" s="183"/>
      <c r="F12" s="183"/>
      <c r="G12" s="183"/>
      <c r="H12" s="183"/>
      <c r="I12" s="184"/>
      <c r="J12" s="13"/>
    </row>
    <row r="13" spans="1:10" ht="7.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</row>
    <row r="14" spans="1:10" ht="19.5" customHeight="1">
      <c r="A14" s="180" t="s">
        <v>108</v>
      </c>
      <c r="B14" s="174"/>
      <c r="C14" s="174"/>
      <c r="D14" s="174"/>
      <c r="E14" s="174"/>
      <c r="F14" s="174"/>
      <c r="G14" s="174"/>
      <c r="H14" s="174"/>
      <c r="I14" s="175"/>
      <c r="J14" s="13"/>
    </row>
    <row r="15" spans="1:10" ht="18" customHeight="1">
      <c r="A15" s="21" t="s">
        <v>109</v>
      </c>
      <c r="B15" s="178" t="s">
        <v>110</v>
      </c>
      <c r="C15" s="174"/>
      <c r="D15" s="174"/>
      <c r="E15" s="174"/>
      <c r="F15" s="174"/>
      <c r="G15" s="174"/>
      <c r="H15" s="174"/>
      <c r="I15" s="175"/>
      <c r="J15" s="13"/>
    </row>
    <row r="16" spans="1:10" ht="18" customHeight="1">
      <c r="A16" s="22" t="s">
        <v>111</v>
      </c>
      <c r="B16" s="173" t="s">
        <v>112</v>
      </c>
      <c r="C16" s="174"/>
      <c r="D16" s="174"/>
      <c r="E16" s="174"/>
      <c r="F16" s="174"/>
      <c r="G16" s="174"/>
      <c r="H16" s="174"/>
      <c r="I16" s="175"/>
      <c r="J16" s="13"/>
    </row>
    <row r="17" spans="1:10" ht="18" customHeight="1">
      <c r="A17" s="21" t="s">
        <v>113</v>
      </c>
      <c r="B17" s="178" t="s">
        <v>114</v>
      </c>
      <c r="C17" s="174"/>
      <c r="D17" s="174"/>
      <c r="E17" s="174"/>
      <c r="F17" s="174"/>
      <c r="G17" s="174"/>
      <c r="H17" s="174"/>
      <c r="I17" s="175"/>
      <c r="J17" s="13"/>
    </row>
    <row r="18" spans="1:10" ht="18" customHeight="1">
      <c r="A18" s="22" t="s">
        <v>115</v>
      </c>
      <c r="B18" s="173" t="s">
        <v>116</v>
      </c>
      <c r="C18" s="174"/>
      <c r="D18" s="174"/>
      <c r="E18" s="174"/>
      <c r="F18" s="174"/>
      <c r="G18" s="174"/>
      <c r="H18" s="174"/>
      <c r="I18" s="175"/>
      <c r="J18" s="13"/>
    </row>
    <row r="19" spans="1:10" ht="18" customHeight="1">
      <c r="A19" s="21" t="s">
        <v>117</v>
      </c>
      <c r="B19" s="178" t="s">
        <v>118</v>
      </c>
      <c r="C19" s="174"/>
      <c r="D19" s="174"/>
      <c r="E19" s="174"/>
      <c r="F19" s="174"/>
      <c r="G19" s="174"/>
      <c r="H19" s="174"/>
      <c r="I19" s="175"/>
      <c r="J19" s="13"/>
    </row>
    <row r="20" spans="1:10" ht="18" customHeight="1">
      <c r="A20" s="22" t="s">
        <v>119</v>
      </c>
      <c r="B20" s="173" t="s">
        <v>120</v>
      </c>
      <c r="C20" s="174"/>
      <c r="D20" s="174"/>
      <c r="E20" s="174"/>
      <c r="F20" s="174"/>
      <c r="G20" s="174"/>
      <c r="H20" s="174"/>
      <c r="I20" s="175"/>
    </row>
  </sheetData>
  <mergeCells count="16">
    <mergeCell ref="A1:H1"/>
    <mergeCell ref="A12:I12"/>
    <mergeCell ref="D3:E3"/>
    <mergeCell ref="B17:I17"/>
    <mergeCell ref="B20:I20"/>
    <mergeCell ref="B3:B4"/>
    <mergeCell ref="B16:I16"/>
    <mergeCell ref="I3:I4"/>
    <mergeCell ref="A14:I14"/>
    <mergeCell ref="B19:I19"/>
    <mergeCell ref="B18:I18"/>
    <mergeCell ref="F3:G3"/>
    <mergeCell ref="A2:I2"/>
    <mergeCell ref="B15:I15"/>
    <mergeCell ref="C3:C4"/>
    <mergeCell ref="A3:A4"/>
  </mergeCells>
  <phoneticPr fontId="7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82"/>
  <sheetViews>
    <sheetView showGridLines="0" zoomScaleNormal="100" workbookViewId="0">
      <selection sqref="A1:H1"/>
    </sheetView>
  </sheetViews>
  <sheetFormatPr defaultColWidth="8.7109375" defaultRowHeight="15"/>
  <cols>
    <col min="1" max="1" width="60" style="129" customWidth="1"/>
    <col min="2" max="2" width="16" style="129" customWidth="1"/>
    <col min="3" max="3" width="19" style="129" customWidth="1"/>
    <col min="4" max="4" width="20.85546875" style="129" customWidth="1"/>
    <col min="5" max="5" width="23.5703125" style="129" customWidth="1"/>
    <col min="6" max="6" width="19" style="129" customWidth="1"/>
    <col min="7" max="7" width="15.5703125" style="129" customWidth="1"/>
    <col min="8" max="8" width="29.140625" style="129" customWidth="1"/>
    <col min="9" max="9" width="13" style="129" customWidth="1"/>
    <col min="10" max="10" width="25.140625" style="129" customWidth="1"/>
  </cols>
  <sheetData>
    <row r="1" spans="1:10" ht="39.75" customHeight="1">
      <c r="A1" s="157" t="s">
        <v>121</v>
      </c>
      <c r="B1" s="158"/>
      <c r="C1" s="158"/>
      <c r="D1" s="158"/>
      <c r="E1" s="158"/>
      <c r="F1" s="158"/>
      <c r="G1" s="158"/>
      <c r="H1" s="158"/>
    </row>
    <row r="2" spans="1:10" ht="18" customHeight="1">
      <c r="A2" s="164" t="s">
        <v>122</v>
      </c>
      <c r="B2" s="158"/>
      <c r="C2" s="158"/>
      <c r="D2" s="158"/>
      <c r="E2" s="158"/>
      <c r="F2" s="158"/>
      <c r="G2" s="158"/>
      <c r="H2" s="158"/>
    </row>
    <row r="3" spans="1:10" ht="36" customHeight="1">
      <c r="A3" s="23" t="s">
        <v>71</v>
      </c>
      <c r="B3" s="23" t="s">
        <v>123</v>
      </c>
      <c r="C3" s="23" t="s">
        <v>124</v>
      </c>
      <c r="D3" s="23" t="s">
        <v>125</v>
      </c>
      <c r="E3" s="23" t="s">
        <v>126</v>
      </c>
      <c r="F3" s="23" t="s">
        <v>127</v>
      </c>
      <c r="G3" s="23" t="s">
        <v>128</v>
      </c>
      <c r="H3" s="23" t="s">
        <v>129</v>
      </c>
      <c r="I3" s="23" t="s">
        <v>130</v>
      </c>
      <c r="J3" s="23" t="s">
        <v>131</v>
      </c>
    </row>
    <row r="4" spans="1:10" ht="21.75" customHeight="1">
      <c r="A4" s="24" t="s">
        <v>132</v>
      </c>
      <c r="B4" s="25" t="s">
        <v>133</v>
      </c>
      <c r="C4" s="26" t="s">
        <v>134</v>
      </c>
      <c r="D4" s="26" t="s">
        <v>135</v>
      </c>
      <c r="E4" s="27" t="s">
        <v>136</v>
      </c>
      <c r="F4" s="28" t="s">
        <v>81</v>
      </c>
      <c r="G4" s="29" t="s">
        <v>81</v>
      </c>
      <c r="H4" s="30" t="s">
        <v>137</v>
      </c>
      <c r="I4" s="24">
        <v>12010004</v>
      </c>
      <c r="J4" s="24" t="s">
        <v>138</v>
      </c>
    </row>
    <row r="5" spans="1:10" ht="21.75" customHeight="1">
      <c r="A5" s="24" t="s">
        <v>132</v>
      </c>
      <c r="B5" s="25" t="s">
        <v>133</v>
      </c>
      <c r="C5" s="26" t="s">
        <v>134</v>
      </c>
      <c r="D5" s="26" t="s">
        <v>139</v>
      </c>
      <c r="E5" s="27" t="s">
        <v>140</v>
      </c>
      <c r="F5" s="28" t="s">
        <v>81</v>
      </c>
      <c r="G5" s="29" t="s">
        <v>81</v>
      </c>
      <c r="H5" s="30" t="s">
        <v>137</v>
      </c>
      <c r="I5" s="24">
        <v>12010001</v>
      </c>
      <c r="J5" s="24" t="s">
        <v>141</v>
      </c>
    </row>
    <row r="6" spans="1:10" ht="21.75" customHeight="1">
      <c r="A6" s="24" t="s">
        <v>132</v>
      </c>
      <c r="B6" s="25" t="s">
        <v>133</v>
      </c>
      <c r="C6" s="26" t="s">
        <v>134</v>
      </c>
      <c r="D6" s="26" t="s">
        <v>142</v>
      </c>
      <c r="E6" s="27" t="s">
        <v>143</v>
      </c>
      <c r="F6" s="28" t="s">
        <v>81</v>
      </c>
      <c r="G6" s="29" t="s">
        <v>81</v>
      </c>
      <c r="H6" s="30" t="s">
        <v>137</v>
      </c>
      <c r="I6" s="24">
        <v>12010007</v>
      </c>
      <c r="J6" s="24" t="s">
        <v>144</v>
      </c>
    </row>
    <row r="7" spans="1:10" ht="21.75" customHeight="1">
      <c r="A7" s="24" t="s">
        <v>132</v>
      </c>
      <c r="B7" s="25" t="s">
        <v>133</v>
      </c>
      <c r="C7" s="26" t="s">
        <v>134</v>
      </c>
      <c r="D7" s="26" t="s">
        <v>145</v>
      </c>
      <c r="E7" s="27" t="s">
        <v>146</v>
      </c>
      <c r="F7" s="28" t="s">
        <v>81</v>
      </c>
      <c r="G7" s="29" t="s">
        <v>81</v>
      </c>
      <c r="H7" s="30" t="s">
        <v>137</v>
      </c>
      <c r="I7" s="24">
        <v>12010010</v>
      </c>
      <c r="J7" s="24" t="s">
        <v>147</v>
      </c>
    </row>
    <row r="8" spans="1:10" ht="21.75" customHeight="1">
      <c r="A8" s="24" t="s">
        <v>132</v>
      </c>
      <c r="B8" s="25" t="s">
        <v>133</v>
      </c>
      <c r="C8" s="26" t="s">
        <v>148</v>
      </c>
      <c r="D8" s="26" t="s">
        <v>135</v>
      </c>
      <c r="E8" s="27" t="s">
        <v>143</v>
      </c>
      <c r="F8" s="28" t="s">
        <v>81</v>
      </c>
      <c r="G8" s="29" t="s">
        <v>81</v>
      </c>
      <c r="H8" s="30" t="s">
        <v>137</v>
      </c>
      <c r="I8" s="24">
        <v>12010005</v>
      </c>
      <c r="J8" s="24" t="s">
        <v>149</v>
      </c>
    </row>
    <row r="9" spans="1:10" ht="21.75" customHeight="1">
      <c r="A9" s="24" t="s">
        <v>132</v>
      </c>
      <c r="B9" s="25" t="s">
        <v>133</v>
      </c>
      <c r="C9" s="26" t="s">
        <v>148</v>
      </c>
      <c r="D9" s="26" t="s">
        <v>139</v>
      </c>
      <c r="E9" s="27" t="s">
        <v>150</v>
      </c>
      <c r="F9" s="28" t="s">
        <v>81</v>
      </c>
      <c r="G9" s="29" t="s">
        <v>81</v>
      </c>
      <c r="H9" s="30" t="s">
        <v>137</v>
      </c>
      <c r="I9" s="24">
        <v>12010002</v>
      </c>
      <c r="J9" s="24" t="s">
        <v>151</v>
      </c>
    </row>
    <row r="10" spans="1:10" ht="21.75" customHeight="1">
      <c r="A10" s="24" t="s">
        <v>132</v>
      </c>
      <c r="B10" s="25" t="s">
        <v>133</v>
      </c>
      <c r="C10" s="26" t="s">
        <v>148</v>
      </c>
      <c r="D10" s="26" t="s">
        <v>142</v>
      </c>
      <c r="E10" s="27" t="s">
        <v>152</v>
      </c>
      <c r="F10" s="28" t="s">
        <v>81</v>
      </c>
      <c r="G10" s="29" t="s">
        <v>81</v>
      </c>
      <c r="H10" s="30" t="s">
        <v>137</v>
      </c>
      <c r="I10" s="24">
        <v>12010008</v>
      </c>
      <c r="J10" s="24" t="s">
        <v>153</v>
      </c>
    </row>
    <row r="11" spans="1:10" ht="21.75" customHeight="1">
      <c r="A11" s="24" t="s">
        <v>132</v>
      </c>
      <c r="B11" s="25" t="s">
        <v>133</v>
      </c>
      <c r="C11" s="26" t="s">
        <v>148</v>
      </c>
      <c r="D11" s="26" t="s">
        <v>145</v>
      </c>
      <c r="E11" s="27" t="s">
        <v>154</v>
      </c>
      <c r="F11" s="28" t="s">
        <v>81</v>
      </c>
      <c r="G11" s="29" t="s">
        <v>81</v>
      </c>
      <c r="H11" s="30" t="s">
        <v>137</v>
      </c>
      <c r="I11" s="24">
        <v>12010011</v>
      </c>
      <c r="J11" s="24" t="s">
        <v>155</v>
      </c>
    </row>
    <row r="12" spans="1:10" ht="21.75" customHeight="1">
      <c r="A12" s="24" t="s">
        <v>132</v>
      </c>
      <c r="B12" s="25" t="s">
        <v>133</v>
      </c>
      <c r="C12" s="26" t="s">
        <v>156</v>
      </c>
      <c r="D12" s="26" t="s">
        <v>135</v>
      </c>
      <c r="E12" s="27" t="s">
        <v>157</v>
      </c>
      <c r="F12" s="28" t="s">
        <v>81</v>
      </c>
      <c r="G12" s="29" t="s">
        <v>81</v>
      </c>
      <c r="H12" s="30" t="s">
        <v>137</v>
      </c>
      <c r="I12" s="24">
        <v>12010006</v>
      </c>
      <c r="J12" s="24" t="s">
        <v>158</v>
      </c>
    </row>
    <row r="13" spans="1:10" ht="21.75" customHeight="1">
      <c r="A13" s="24" t="s">
        <v>132</v>
      </c>
      <c r="B13" s="25" t="s">
        <v>133</v>
      </c>
      <c r="C13" s="26" t="s">
        <v>156</v>
      </c>
      <c r="D13" s="26" t="s">
        <v>139</v>
      </c>
      <c r="E13" s="27" t="s">
        <v>159</v>
      </c>
      <c r="F13" s="28" t="s">
        <v>81</v>
      </c>
      <c r="G13" s="29" t="s">
        <v>81</v>
      </c>
      <c r="H13" s="30" t="s">
        <v>137</v>
      </c>
      <c r="I13" s="24">
        <v>12010003</v>
      </c>
      <c r="J13" s="24" t="s">
        <v>160</v>
      </c>
    </row>
    <row r="14" spans="1:10" ht="21.75" customHeight="1">
      <c r="A14" s="24" t="s">
        <v>132</v>
      </c>
      <c r="B14" s="25" t="s">
        <v>133</v>
      </c>
      <c r="C14" s="26" t="s">
        <v>156</v>
      </c>
      <c r="D14" s="26" t="s">
        <v>142</v>
      </c>
      <c r="E14" s="27" t="s">
        <v>154</v>
      </c>
      <c r="F14" s="28" t="s">
        <v>81</v>
      </c>
      <c r="G14" s="29" t="s">
        <v>81</v>
      </c>
      <c r="H14" s="30" t="s">
        <v>137</v>
      </c>
      <c r="I14" s="24">
        <v>12010009</v>
      </c>
      <c r="J14" s="24" t="s">
        <v>161</v>
      </c>
    </row>
    <row r="15" spans="1:10" ht="21.75" customHeight="1">
      <c r="A15" s="24" t="s">
        <v>132</v>
      </c>
      <c r="B15" s="25" t="s">
        <v>133</v>
      </c>
      <c r="C15" s="26" t="s">
        <v>156</v>
      </c>
      <c r="D15" s="26" t="s">
        <v>145</v>
      </c>
      <c r="E15" s="27" t="s">
        <v>159</v>
      </c>
      <c r="F15" s="28" t="s">
        <v>81</v>
      </c>
      <c r="G15" s="29" t="s">
        <v>81</v>
      </c>
      <c r="H15" s="30" t="s">
        <v>137</v>
      </c>
      <c r="I15" s="24">
        <v>12010012</v>
      </c>
      <c r="J15" s="24" t="s">
        <v>162</v>
      </c>
    </row>
    <row r="16" spans="1:10" ht="21.75" customHeight="1">
      <c r="A16" s="31" t="s">
        <v>163</v>
      </c>
      <c r="B16" s="32" t="s">
        <v>164</v>
      </c>
      <c r="C16" s="33" t="s">
        <v>134</v>
      </c>
      <c r="D16" s="33" t="s">
        <v>139</v>
      </c>
      <c r="E16" s="27" t="s">
        <v>140</v>
      </c>
      <c r="F16" s="27" t="s">
        <v>143</v>
      </c>
      <c r="G16" s="29" t="s">
        <v>81</v>
      </c>
      <c r="H16" s="34" t="s">
        <v>165</v>
      </c>
      <c r="I16" s="31">
        <v>12020001</v>
      </c>
      <c r="J16" s="31" t="s">
        <v>166</v>
      </c>
    </row>
    <row r="17" spans="1:10" ht="21.75" customHeight="1">
      <c r="A17" s="31" t="s">
        <v>163</v>
      </c>
      <c r="B17" s="32" t="s">
        <v>164</v>
      </c>
      <c r="C17" s="33" t="s">
        <v>134</v>
      </c>
      <c r="D17" s="33" t="s">
        <v>139</v>
      </c>
      <c r="E17" s="27" t="s">
        <v>140</v>
      </c>
      <c r="F17" s="27" t="s">
        <v>150</v>
      </c>
      <c r="G17" s="29" t="s">
        <v>81</v>
      </c>
      <c r="H17" s="34" t="s">
        <v>165</v>
      </c>
      <c r="I17" s="31">
        <v>12020010</v>
      </c>
      <c r="J17" s="31" t="s">
        <v>166</v>
      </c>
    </row>
    <row r="18" spans="1:10" ht="21.75" customHeight="1">
      <c r="A18" s="31" t="s">
        <v>163</v>
      </c>
      <c r="B18" s="32" t="s">
        <v>164</v>
      </c>
      <c r="C18" s="33" t="s">
        <v>134</v>
      </c>
      <c r="D18" s="33" t="s">
        <v>142</v>
      </c>
      <c r="E18" s="27" t="s">
        <v>143</v>
      </c>
      <c r="F18" s="27" t="s">
        <v>136</v>
      </c>
      <c r="G18" s="29" t="s">
        <v>81</v>
      </c>
      <c r="H18" s="34" t="s">
        <v>165</v>
      </c>
      <c r="I18" s="31">
        <v>12020004</v>
      </c>
      <c r="J18" s="31" t="s">
        <v>167</v>
      </c>
    </row>
    <row r="19" spans="1:10" ht="21.75" customHeight="1">
      <c r="A19" s="31" t="s">
        <v>163</v>
      </c>
      <c r="B19" s="32" t="s">
        <v>164</v>
      </c>
      <c r="C19" s="33" t="s">
        <v>134</v>
      </c>
      <c r="D19" s="33" t="s">
        <v>145</v>
      </c>
      <c r="E19" s="27" t="s">
        <v>146</v>
      </c>
      <c r="F19" s="27" t="s">
        <v>140</v>
      </c>
      <c r="G19" s="29" t="s">
        <v>81</v>
      </c>
      <c r="H19" s="34" t="s">
        <v>165</v>
      </c>
      <c r="I19" s="31">
        <v>12020007</v>
      </c>
      <c r="J19" s="31" t="s">
        <v>168</v>
      </c>
    </row>
    <row r="20" spans="1:10" ht="21.75" customHeight="1">
      <c r="A20" s="31" t="s">
        <v>163</v>
      </c>
      <c r="B20" s="32" t="s">
        <v>164</v>
      </c>
      <c r="C20" s="33" t="s">
        <v>148</v>
      </c>
      <c r="D20" s="33" t="s">
        <v>139</v>
      </c>
      <c r="E20" s="31" t="s">
        <v>140</v>
      </c>
      <c r="F20" s="31" t="s">
        <v>150</v>
      </c>
      <c r="G20" s="29" t="s">
        <v>81</v>
      </c>
      <c r="H20" s="34" t="s">
        <v>165</v>
      </c>
      <c r="I20" s="31">
        <v>12020002</v>
      </c>
      <c r="J20" s="31" t="s">
        <v>169</v>
      </c>
    </row>
    <row r="21" spans="1:10" ht="21.75" customHeight="1">
      <c r="A21" s="31" t="s">
        <v>163</v>
      </c>
      <c r="B21" s="32" t="s">
        <v>164</v>
      </c>
      <c r="C21" s="33" t="s">
        <v>148</v>
      </c>
      <c r="D21" s="33" t="s">
        <v>139</v>
      </c>
      <c r="E21" s="31" t="s">
        <v>154</v>
      </c>
      <c r="F21" s="31" t="s">
        <v>143</v>
      </c>
      <c r="G21" s="29" t="s">
        <v>81</v>
      </c>
      <c r="H21" s="34" t="s">
        <v>165</v>
      </c>
      <c r="I21" s="31">
        <v>12020011</v>
      </c>
      <c r="J21" s="31" t="s">
        <v>169</v>
      </c>
    </row>
    <row r="22" spans="1:10" ht="21.75" customHeight="1">
      <c r="A22" s="31" t="s">
        <v>163</v>
      </c>
      <c r="B22" s="32" t="s">
        <v>164</v>
      </c>
      <c r="C22" s="33" t="s">
        <v>148</v>
      </c>
      <c r="D22" s="33" t="s">
        <v>142</v>
      </c>
      <c r="E22" s="31" t="s">
        <v>159</v>
      </c>
      <c r="F22" s="31" t="s">
        <v>143</v>
      </c>
      <c r="G22" s="29" t="s">
        <v>81</v>
      </c>
      <c r="H22" s="34" t="s">
        <v>165</v>
      </c>
      <c r="I22" s="31">
        <v>12020005</v>
      </c>
      <c r="J22" s="31" t="s">
        <v>170</v>
      </c>
    </row>
    <row r="23" spans="1:10" ht="21.75" customHeight="1">
      <c r="A23" s="31" t="s">
        <v>163</v>
      </c>
      <c r="B23" s="32" t="s">
        <v>164</v>
      </c>
      <c r="C23" s="33" t="s">
        <v>148</v>
      </c>
      <c r="D23" s="33" t="s">
        <v>145</v>
      </c>
      <c r="E23" s="31" t="s">
        <v>152</v>
      </c>
      <c r="F23" s="31" t="s">
        <v>171</v>
      </c>
      <c r="G23" s="29" t="s">
        <v>81</v>
      </c>
      <c r="H23" s="34" t="s">
        <v>165</v>
      </c>
      <c r="I23" s="31">
        <v>12020008</v>
      </c>
      <c r="J23" s="31" t="s">
        <v>172</v>
      </c>
    </row>
    <row r="24" spans="1:10" ht="21.75" customHeight="1">
      <c r="A24" s="31" t="s">
        <v>163</v>
      </c>
      <c r="B24" s="32" t="s">
        <v>164</v>
      </c>
      <c r="C24" s="33" t="s">
        <v>156</v>
      </c>
      <c r="D24" s="33" t="s">
        <v>139</v>
      </c>
      <c r="E24" s="27" t="s">
        <v>159</v>
      </c>
      <c r="F24" s="27" t="s">
        <v>143</v>
      </c>
      <c r="G24" s="29" t="s">
        <v>81</v>
      </c>
      <c r="H24" s="34" t="s">
        <v>165</v>
      </c>
      <c r="I24" s="31">
        <v>12020012</v>
      </c>
      <c r="J24" s="31" t="s">
        <v>173</v>
      </c>
    </row>
    <row r="25" spans="1:10" ht="21.75" customHeight="1">
      <c r="A25" s="31" t="s">
        <v>163</v>
      </c>
      <c r="B25" s="32" t="s">
        <v>164</v>
      </c>
      <c r="C25" s="33" t="s">
        <v>156</v>
      </c>
      <c r="D25" s="33" t="s">
        <v>139</v>
      </c>
      <c r="E25" s="31" t="s">
        <v>150</v>
      </c>
      <c r="F25" s="31" t="s">
        <v>154</v>
      </c>
      <c r="G25" s="29" t="s">
        <v>81</v>
      </c>
      <c r="H25" s="34" t="s">
        <v>165</v>
      </c>
      <c r="I25" s="31">
        <v>12020003</v>
      </c>
      <c r="J25" s="31" t="s">
        <v>173</v>
      </c>
    </row>
    <row r="26" spans="1:10" ht="21.75" customHeight="1">
      <c r="A26" s="31" t="s">
        <v>163</v>
      </c>
      <c r="B26" s="32" t="s">
        <v>164</v>
      </c>
      <c r="C26" s="33" t="s">
        <v>156</v>
      </c>
      <c r="D26" s="33" t="s">
        <v>142</v>
      </c>
      <c r="E26" s="31" t="s">
        <v>159</v>
      </c>
      <c r="F26" s="31" t="s">
        <v>159</v>
      </c>
      <c r="G26" s="29" t="s">
        <v>81</v>
      </c>
      <c r="H26" s="34" t="s">
        <v>165</v>
      </c>
      <c r="I26" s="31">
        <v>12020006</v>
      </c>
      <c r="J26" s="31" t="s">
        <v>174</v>
      </c>
    </row>
    <row r="27" spans="1:10" ht="21.75" customHeight="1">
      <c r="A27" s="31" t="s">
        <v>163</v>
      </c>
      <c r="B27" s="32" t="s">
        <v>164</v>
      </c>
      <c r="C27" s="33" t="s">
        <v>156</v>
      </c>
      <c r="D27" s="33" t="s">
        <v>145</v>
      </c>
      <c r="E27" s="31" t="s">
        <v>154</v>
      </c>
      <c r="F27" s="31" t="s">
        <v>159</v>
      </c>
      <c r="G27" s="29" t="s">
        <v>81</v>
      </c>
      <c r="H27" s="34" t="s">
        <v>165</v>
      </c>
      <c r="I27" s="31">
        <v>12020009</v>
      </c>
      <c r="J27" s="31" t="s">
        <v>175</v>
      </c>
    </row>
    <row r="28" spans="1:10" ht="21.75" customHeight="1">
      <c r="A28" s="31" t="s">
        <v>163</v>
      </c>
      <c r="B28" s="35" t="s">
        <v>176</v>
      </c>
      <c r="C28" s="36" t="s">
        <v>134</v>
      </c>
      <c r="D28" s="36" t="s">
        <v>135</v>
      </c>
      <c r="E28" s="27" t="s">
        <v>136</v>
      </c>
      <c r="F28" s="27" t="s">
        <v>150</v>
      </c>
      <c r="G28" s="29" t="s">
        <v>81</v>
      </c>
      <c r="H28" s="34" t="s">
        <v>177</v>
      </c>
      <c r="I28" s="31">
        <v>12020013</v>
      </c>
      <c r="J28" s="31" t="s">
        <v>178</v>
      </c>
    </row>
    <row r="29" spans="1:10" ht="21.75" customHeight="1">
      <c r="A29" s="31" t="s">
        <v>163</v>
      </c>
      <c r="B29" s="35" t="s">
        <v>176</v>
      </c>
      <c r="C29" s="36" t="s">
        <v>134</v>
      </c>
      <c r="D29" s="36" t="s">
        <v>135</v>
      </c>
      <c r="E29" s="31" t="s">
        <v>143</v>
      </c>
      <c r="F29" s="31" t="s">
        <v>179</v>
      </c>
      <c r="G29" s="29" t="s">
        <v>81</v>
      </c>
      <c r="H29" s="34" t="s">
        <v>177</v>
      </c>
      <c r="I29" s="31">
        <v>12020016</v>
      </c>
      <c r="J29" s="31" t="s">
        <v>178</v>
      </c>
    </row>
    <row r="30" spans="1:10" ht="21.75" customHeight="1">
      <c r="A30" s="31" t="s">
        <v>163</v>
      </c>
      <c r="B30" s="35" t="s">
        <v>176</v>
      </c>
      <c r="C30" s="36" t="s">
        <v>134</v>
      </c>
      <c r="D30" s="36" t="s">
        <v>142</v>
      </c>
      <c r="E30" s="27" t="s">
        <v>143</v>
      </c>
      <c r="F30" s="27" t="s">
        <v>152</v>
      </c>
      <c r="G30" s="29" t="s">
        <v>81</v>
      </c>
      <c r="H30" s="34" t="s">
        <v>177</v>
      </c>
      <c r="I30" s="31">
        <v>12020019</v>
      </c>
      <c r="J30" s="31" t="s">
        <v>180</v>
      </c>
    </row>
    <row r="31" spans="1:10" ht="21.75" customHeight="1">
      <c r="A31" s="31" t="s">
        <v>163</v>
      </c>
      <c r="B31" s="35" t="s">
        <v>176</v>
      </c>
      <c r="C31" s="36" t="s">
        <v>148</v>
      </c>
      <c r="D31" s="36" t="s">
        <v>135</v>
      </c>
      <c r="E31" s="31" t="s">
        <v>136</v>
      </c>
      <c r="F31" s="31" t="s">
        <v>143</v>
      </c>
      <c r="G31" s="29" t="s">
        <v>81</v>
      </c>
      <c r="H31" s="34" t="s">
        <v>177</v>
      </c>
      <c r="I31" s="31">
        <v>12020014</v>
      </c>
      <c r="J31" s="31" t="s">
        <v>181</v>
      </c>
    </row>
    <row r="32" spans="1:10" ht="21.75" customHeight="1">
      <c r="A32" s="31" t="s">
        <v>163</v>
      </c>
      <c r="B32" s="35" t="s">
        <v>176</v>
      </c>
      <c r="C32" s="36" t="s">
        <v>148</v>
      </c>
      <c r="D32" s="36" t="s">
        <v>135</v>
      </c>
      <c r="E32" s="31" t="s">
        <v>157</v>
      </c>
      <c r="F32" s="31" t="s">
        <v>150</v>
      </c>
      <c r="G32" s="29" t="s">
        <v>81</v>
      </c>
      <c r="H32" s="34" t="s">
        <v>177</v>
      </c>
      <c r="I32" s="31">
        <v>12020017</v>
      </c>
      <c r="J32" s="31" t="s">
        <v>181</v>
      </c>
    </row>
    <row r="33" spans="1:10" ht="21.75" customHeight="1">
      <c r="A33" s="31" t="s">
        <v>163</v>
      </c>
      <c r="B33" s="35" t="s">
        <v>176</v>
      </c>
      <c r="C33" s="36" t="s">
        <v>148</v>
      </c>
      <c r="D33" s="36" t="s">
        <v>142</v>
      </c>
      <c r="E33" s="27" t="s">
        <v>152</v>
      </c>
      <c r="F33" s="27" t="s">
        <v>179</v>
      </c>
      <c r="G33" s="29" t="s">
        <v>81</v>
      </c>
      <c r="H33" s="34" t="s">
        <v>177</v>
      </c>
      <c r="I33" s="31">
        <v>12020020</v>
      </c>
      <c r="J33" s="31" t="s">
        <v>182</v>
      </c>
    </row>
    <row r="34" spans="1:10" ht="21.75" customHeight="1">
      <c r="A34" s="31" t="s">
        <v>163</v>
      </c>
      <c r="B34" s="35" t="s">
        <v>176</v>
      </c>
      <c r="C34" s="36" t="s">
        <v>156</v>
      </c>
      <c r="D34" s="36" t="s">
        <v>135</v>
      </c>
      <c r="E34" s="31" t="s">
        <v>143</v>
      </c>
      <c r="F34" s="31" t="s">
        <v>171</v>
      </c>
      <c r="G34" s="29" t="s">
        <v>81</v>
      </c>
      <c r="H34" s="34" t="s">
        <v>177</v>
      </c>
      <c r="I34" s="31">
        <v>12020015</v>
      </c>
      <c r="J34" s="31" t="s">
        <v>183</v>
      </c>
    </row>
    <row r="35" spans="1:10" ht="21.75" customHeight="1">
      <c r="A35" s="31" t="s">
        <v>163</v>
      </c>
      <c r="B35" s="35" t="s">
        <v>176</v>
      </c>
      <c r="C35" s="36" t="s">
        <v>156</v>
      </c>
      <c r="D35" s="36" t="s">
        <v>135</v>
      </c>
      <c r="E35" s="27" t="s">
        <v>157</v>
      </c>
      <c r="F35" s="27" t="s">
        <v>159</v>
      </c>
      <c r="G35" s="29" t="s">
        <v>81</v>
      </c>
      <c r="H35" s="34" t="s">
        <v>177</v>
      </c>
      <c r="I35" s="31">
        <v>12020018</v>
      </c>
      <c r="J35" s="31" t="s">
        <v>183</v>
      </c>
    </row>
    <row r="36" spans="1:10" ht="21.75" customHeight="1">
      <c r="A36" s="31" t="s">
        <v>163</v>
      </c>
      <c r="B36" s="35" t="s">
        <v>176</v>
      </c>
      <c r="C36" s="36" t="s">
        <v>156</v>
      </c>
      <c r="D36" s="36" t="s">
        <v>142</v>
      </c>
      <c r="E36" s="27" t="s">
        <v>154</v>
      </c>
      <c r="F36" s="27" t="s">
        <v>171</v>
      </c>
      <c r="G36" s="29" t="s">
        <v>81</v>
      </c>
      <c r="H36" s="34" t="s">
        <v>177</v>
      </c>
      <c r="I36" s="31">
        <v>12020021</v>
      </c>
      <c r="J36" s="31" t="s">
        <v>184</v>
      </c>
    </row>
    <row r="37" spans="1:10" ht="21.75" customHeight="1">
      <c r="A37" s="31" t="s">
        <v>163</v>
      </c>
      <c r="B37" s="37" t="s">
        <v>185</v>
      </c>
      <c r="C37" s="38" t="s">
        <v>134</v>
      </c>
      <c r="D37" s="38" t="s">
        <v>145</v>
      </c>
      <c r="E37" s="27" t="s">
        <v>146</v>
      </c>
      <c r="F37" s="27" t="s">
        <v>171</v>
      </c>
      <c r="G37" s="29" t="s">
        <v>81</v>
      </c>
      <c r="H37" s="30" t="s">
        <v>186</v>
      </c>
      <c r="I37" s="31">
        <v>12020022</v>
      </c>
      <c r="J37" s="31" t="s">
        <v>187</v>
      </c>
    </row>
    <row r="38" spans="1:10" ht="21.75" customHeight="1">
      <c r="A38" s="31" t="s">
        <v>163</v>
      </c>
      <c r="B38" s="37" t="s">
        <v>185</v>
      </c>
      <c r="C38" s="38" t="s">
        <v>148</v>
      </c>
      <c r="D38" s="38" t="s">
        <v>145</v>
      </c>
      <c r="E38" s="27" t="s">
        <v>154</v>
      </c>
      <c r="F38" s="27" t="s">
        <v>150</v>
      </c>
      <c r="G38" s="29" t="s">
        <v>81</v>
      </c>
      <c r="H38" s="30" t="s">
        <v>186</v>
      </c>
      <c r="I38" s="31">
        <v>12020023</v>
      </c>
      <c r="J38" s="31" t="s">
        <v>188</v>
      </c>
    </row>
    <row r="39" spans="1:10" ht="21.75" customHeight="1">
      <c r="A39" s="31" t="s">
        <v>163</v>
      </c>
      <c r="B39" s="37" t="s">
        <v>185</v>
      </c>
      <c r="C39" s="38" t="s">
        <v>156</v>
      </c>
      <c r="D39" s="38" t="s">
        <v>145</v>
      </c>
      <c r="E39" s="27" t="s">
        <v>159</v>
      </c>
      <c r="F39" s="27" t="s">
        <v>154</v>
      </c>
      <c r="G39" s="29" t="s">
        <v>81</v>
      </c>
      <c r="H39" s="30" t="s">
        <v>186</v>
      </c>
      <c r="I39" s="31">
        <v>12020024</v>
      </c>
      <c r="J39" s="31" t="s">
        <v>189</v>
      </c>
    </row>
    <row r="40" spans="1:10" ht="21.75" customHeight="1">
      <c r="A40" s="39" t="s">
        <v>190</v>
      </c>
      <c r="B40" s="32" t="s">
        <v>164</v>
      </c>
      <c r="C40" s="33" t="s">
        <v>134</v>
      </c>
      <c r="D40" s="33" t="s">
        <v>135</v>
      </c>
      <c r="E40" s="27" t="s">
        <v>136</v>
      </c>
      <c r="F40" s="27" t="s">
        <v>143</v>
      </c>
      <c r="G40" s="27" t="s">
        <v>146</v>
      </c>
      <c r="H40" s="34" t="s">
        <v>191</v>
      </c>
      <c r="I40" s="39">
        <v>12030004</v>
      </c>
      <c r="J40" s="39" t="s">
        <v>192</v>
      </c>
    </row>
    <row r="41" spans="1:10" ht="21.75" customHeight="1">
      <c r="A41" s="39" t="s">
        <v>190</v>
      </c>
      <c r="B41" s="32" t="s">
        <v>164</v>
      </c>
      <c r="C41" s="33" t="s">
        <v>134</v>
      </c>
      <c r="D41" s="33" t="s">
        <v>139</v>
      </c>
      <c r="E41" s="27" t="s">
        <v>140</v>
      </c>
      <c r="F41" s="27" t="s">
        <v>150</v>
      </c>
      <c r="G41" s="27" t="s">
        <v>171</v>
      </c>
      <c r="H41" s="34" t="s">
        <v>191</v>
      </c>
      <c r="I41" s="39">
        <v>12030001</v>
      </c>
      <c r="J41" s="39" t="s">
        <v>193</v>
      </c>
    </row>
    <row r="42" spans="1:10" ht="21.75" customHeight="1">
      <c r="A42" s="39" t="s">
        <v>190</v>
      </c>
      <c r="B42" s="32" t="s">
        <v>164</v>
      </c>
      <c r="C42" s="33" t="s">
        <v>134</v>
      </c>
      <c r="D42" s="33" t="s">
        <v>142</v>
      </c>
      <c r="E42" s="27" t="s">
        <v>143</v>
      </c>
      <c r="F42" s="27" t="s">
        <v>146</v>
      </c>
      <c r="G42" s="27" t="s">
        <v>194</v>
      </c>
      <c r="H42" s="34" t="s">
        <v>191</v>
      </c>
      <c r="I42" s="39">
        <v>12030007</v>
      </c>
      <c r="J42" s="39" t="s">
        <v>195</v>
      </c>
    </row>
    <row r="43" spans="1:10" ht="21.75" customHeight="1">
      <c r="A43" s="39" t="s">
        <v>190</v>
      </c>
      <c r="B43" s="32" t="s">
        <v>164</v>
      </c>
      <c r="C43" s="33" t="s">
        <v>134</v>
      </c>
      <c r="D43" s="33" t="s">
        <v>142</v>
      </c>
      <c r="E43" s="27" t="s">
        <v>143</v>
      </c>
      <c r="F43" s="27" t="s">
        <v>136</v>
      </c>
      <c r="G43" s="27" t="s">
        <v>196</v>
      </c>
      <c r="H43" s="34" t="s">
        <v>191</v>
      </c>
      <c r="I43" s="39">
        <v>12030010</v>
      </c>
      <c r="J43" s="39" t="s">
        <v>195</v>
      </c>
    </row>
    <row r="44" spans="1:10" ht="21.75" customHeight="1">
      <c r="A44" s="39" t="s">
        <v>190</v>
      </c>
      <c r="B44" s="32" t="s">
        <v>164</v>
      </c>
      <c r="C44" s="33" t="s">
        <v>148</v>
      </c>
      <c r="D44" s="33" t="s">
        <v>135</v>
      </c>
      <c r="E44" s="27" t="s">
        <v>143</v>
      </c>
      <c r="F44" s="27" t="s">
        <v>171</v>
      </c>
      <c r="G44" s="29" t="s">
        <v>197</v>
      </c>
      <c r="H44" s="34" t="s">
        <v>191</v>
      </c>
      <c r="I44" s="39">
        <v>12030005</v>
      </c>
      <c r="J44" s="39" t="s">
        <v>198</v>
      </c>
    </row>
    <row r="45" spans="1:10" ht="21.75" customHeight="1">
      <c r="A45" s="39" t="s">
        <v>190</v>
      </c>
      <c r="B45" s="32" t="s">
        <v>164</v>
      </c>
      <c r="C45" s="33" t="s">
        <v>148</v>
      </c>
      <c r="D45" s="33" t="s">
        <v>139</v>
      </c>
      <c r="E45" s="27" t="s">
        <v>150</v>
      </c>
      <c r="F45" s="27" t="s">
        <v>143</v>
      </c>
      <c r="G45" s="27" t="s">
        <v>136</v>
      </c>
      <c r="H45" s="34" t="s">
        <v>191</v>
      </c>
      <c r="I45" s="39">
        <v>12030002</v>
      </c>
      <c r="J45" s="39" t="s">
        <v>199</v>
      </c>
    </row>
    <row r="46" spans="1:10" ht="21.75" customHeight="1">
      <c r="A46" s="39" t="s">
        <v>190</v>
      </c>
      <c r="B46" s="32" t="s">
        <v>164</v>
      </c>
      <c r="C46" s="33" t="s">
        <v>148</v>
      </c>
      <c r="D46" s="33" t="s">
        <v>142</v>
      </c>
      <c r="E46" s="39" t="s">
        <v>143</v>
      </c>
      <c r="F46" s="39" t="s">
        <v>136</v>
      </c>
      <c r="G46" s="39" t="s">
        <v>196</v>
      </c>
      <c r="H46" s="34" t="s">
        <v>191</v>
      </c>
      <c r="I46" s="39">
        <v>12030008</v>
      </c>
      <c r="J46" s="39" t="s">
        <v>200</v>
      </c>
    </row>
    <row r="47" spans="1:10" ht="21.75" customHeight="1">
      <c r="A47" s="39" t="s">
        <v>190</v>
      </c>
      <c r="B47" s="32" t="s">
        <v>164</v>
      </c>
      <c r="C47" s="33" t="s">
        <v>148</v>
      </c>
      <c r="D47" s="33" t="s">
        <v>142</v>
      </c>
      <c r="E47" s="39" t="s">
        <v>154</v>
      </c>
      <c r="F47" s="39" t="s">
        <v>159</v>
      </c>
      <c r="G47" s="39" t="s">
        <v>143</v>
      </c>
      <c r="H47" s="34" t="s">
        <v>191</v>
      </c>
      <c r="I47" s="39">
        <v>12030011</v>
      </c>
      <c r="J47" s="39" t="s">
        <v>200</v>
      </c>
    </row>
    <row r="48" spans="1:10" ht="21.75" customHeight="1">
      <c r="A48" s="39" t="s">
        <v>190</v>
      </c>
      <c r="B48" s="32" t="s">
        <v>164</v>
      </c>
      <c r="C48" s="33" t="s">
        <v>156</v>
      </c>
      <c r="D48" s="33" t="s">
        <v>135</v>
      </c>
      <c r="E48" s="27" t="s">
        <v>157</v>
      </c>
      <c r="F48" s="27" t="s">
        <v>159</v>
      </c>
      <c r="G48" s="27" t="s">
        <v>201</v>
      </c>
      <c r="H48" s="34" t="s">
        <v>191</v>
      </c>
      <c r="I48" s="39">
        <v>12030006</v>
      </c>
      <c r="J48" s="39" t="s">
        <v>202</v>
      </c>
    </row>
    <row r="49" spans="1:10" ht="21.75" customHeight="1">
      <c r="A49" s="39" t="s">
        <v>190</v>
      </c>
      <c r="B49" s="32" t="s">
        <v>164</v>
      </c>
      <c r="C49" s="33" t="s">
        <v>156</v>
      </c>
      <c r="D49" s="33" t="s">
        <v>139</v>
      </c>
      <c r="E49" s="27" t="s">
        <v>159</v>
      </c>
      <c r="F49" s="27" t="s">
        <v>143</v>
      </c>
      <c r="G49" s="27" t="s">
        <v>136</v>
      </c>
      <c r="H49" s="34" t="s">
        <v>191</v>
      </c>
      <c r="I49" s="39">
        <v>12030003</v>
      </c>
      <c r="J49" s="39" t="s">
        <v>203</v>
      </c>
    </row>
    <row r="50" spans="1:10" ht="21.75" customHeight="1">
      <c r="A50" s="39" t="s">
        <v>190</v>
      </c>
      <c r="B50" s="32" t="s">
        <v>164</v>
      </c>
      <c r="C50" s="33" t="s">
        <v>156</v>
      </c>
      <c r="D50" s="33" t="s">
        <v>142</v>
      </c>
      <c r="E50" s="27" t="s">
        <v>154</v>
      </c>
      <c r="F50" s="27" t="s">
        <v>159</v>
      </c>
      <c r="G50" s="27" t="s">
        <v>143</v>
      </c>
      <c r="H50" s="34" t="s">
        <v>191</v>
      </c>
      <c r="I50" s="39">
        <v>12030009</v>
      </c>
      <c r="J50" s="39" t="s">
        <v>204</v>
      </c>
    </row>
    <row r="51" spans="1:10" ht="21.75" customHeight="1">
      <c r="A51" s="39" t="s">
        <v>190</v>
      </c>
      <c r="B51" s="32" t="s">
        <v>164</v>
      </c>
      <c r="C51" s="33" t="s">
        <v>156</v>
      </c>
      <c r="D51" s="33" t="s">
        <v>142</v>
      </c>
      <c r="E51" s="27" t="s">
        <v>171</v>
      </c>
      <c r="F51" s="27" t="s">
        <v>159</v>
      </c>
      <c r="G51" s="27" t="s">
        <v>201</v>
      </c>
      <c r="H51" s="34" t="s">
        <v>191</v>
      </c>
      <c r="I51" s="39">
        <v>12030012</v>
      </c>
      <c r="J51" s="39" t="s">
        <v>204</v>
      </c>
    </row>
    <row r="52" spans="1:10" ht="21.75" customHeight="1">
      <c r="A52" s="39" t="s">
        <v>190</v>
      </c>
      <c r="B52" s="35" t="s">
        <v>176</v>
      </c>
      <c r="C52" s="36" t="s">
        <v>134</v>
      </c>
      <c r="D52" s="36" t="s">
        <v>135</v>
      </c>
      <c r="E52" s="27" t="s">
        <v>136</v>
      </c>
      <c r="F52" s="27" t="s">
        <v>171</v>
      </c>
      <c r="G52" s="27" t="s">
        <v>152</v>
      </c>
      <c r="H52" s="34" t="s">
        <v>205</v>
      </c>
      <c r="I52" s="39">
        <v>12030016</v>
      </c>
      <c r="J52" s="39" t="s">
        <v>206</v>
      </c>
    </row>
    <row r="53" spans="1:10" ht="21.75" customHeight="1">
      <c r="A53" s="39" t="s">
        <v>190</v>
      </c>
      <c r="B53" s="35" t="s">
        <v>176</v>
      </c>
      <c r="C53" s="36" t="s">
        <v>134</v>
      </c>
      <c r="D53" s="36" t="s">
        <v>139</v>
      </c>
      <c r="E53" s="27" t="s">
        <v>136</v>
      </c>
      <c r="F53" s="27" t="s">
        <v>143</v>
      </c>
      <c r="G53" s="27" t="s">
        <v>171</v>
      </c>
      <c r="H53" s="34" t="s">
        <v>205</v>
      </c>
      <c r="I53" s="39">
        <v>12030013</v>
      </c>
      <c r="J53" s="39" t="s">
        <v>207</v>
      </c>
    </row>
    <row r="54" spans="1:10" ht="21.75" customHeight="1">
      <c r="A54" s="39" t="s">
        <v>190</v>
      </c>
      <c r="B54" s="35" t="s">
        <v>176</v>
      </c>
      <c r="C54" s="36" t="s">
        <v>134</v>
      </c>
      <c r="D54" s="36" t="s">
        <v>142</v>
      </c>
      <c r="E54" s="27" t="s">
        <v>143</v>
      </c>
      <c r="F54" s="27" t="s">
        <v>152</v>
      </c>
      <c r="G54" s="27" t="s">
        <v>150</v>
      </c>
      <c r="H54" s="34" t="s">
        <v>205</v>
      </c>
      <c r="I54" s="39">
        <v>12030019</v>
      </c>
      <c r="J54" s="39" t="s">
        <v>208</v>
      </c>
    </row>
    <row r="55" spans="1:10" ht="21.75" customHeight="1">
      <c r="A55" s="39" t="s">
        <v>190</v>
      </c>
      <c r="B55" s="35" t="s">
        <v>176</v>
      </c>
      <c r="C55" s="36" t="s">
        <v>134</v>
      </c>
      <c r="D55" s="36" t="s">
        <v>145</v>
      </c>
      <c r="E55" s="27" t="s">
        <v>136</v>
      </c>
      <c r="F55" s="27" t="s">
        <v>171</v>
      </c>
      <c r="G55" s="27" t="s">
        <v>209</v>
      </c>
      <c r="H55" s="34" t="s">
        <v>205</v>
      </c>
      <c r="I55" s="39">
        <v>12030022</v>
      </c>
      <c r="J55" s="39" t="s">
        <v>210</v>
      </c>
    </row>
    <row r="56" spans="1:10" ht="21.75" customHeight="1">
      <c r="A56" s="39" t="s">
        <v>190</v>
      </c>
      <c r="B56" s="35" t="s">
        <v>176</v>
      </c>
      <c r="C56" s="36" t="s">
        <v>148</v>
      </c>
      <c r="D56" s="36" t="s">
        <v>135</v>
      </c>
      <c r="E56" s="27" t="s">
        <v>143</v>
      </c>
      <c r="F56" s="27" t="s">
        <v>150</v>
      </c>
      <c r="G56" s="27" t="s">
        <v>154</v>
      </c>
      <c r="H56" s="34" t="s">
        <v>205</v>
      </c>
      <c r="I56" s="39">
        <v>12030017</v>
      </c>
      <c r="J56" s="39" t="s">
        <v>211</v>
      </c>
    </row>
    <row r="57" spans="1:10" ht="21.75" customHeight="1">
      <c r="A57" s="39" t="s">
        <v>190</v>
      </c>
      <c r="B57" s="35" t="s">
        <v>176</v>
      </c>
      <c r="C57" s="36" t="s">
        <v>148</v>
      </c>
      <c r="D57" s="36" t="s">
        <v>139</v>
      </c>
      <c r="E57" s="27" t="s">
        <v>150</v>
      </c>
      <c r="F57" s="27" t="s">
        <v>179</v>
      </c>
      <c r="G57" s="27" t="s">
        <v>152</v>
      </c>
      <c r="H57" s="34" t="s">
        <v>205</v>
      </c>
      <c r="I57" s="39">
        <v>12030014</v>
      </c>
      <c r="J57" s="39" t="s">
        <v>212</v>
      </c>
    </row>
    <row r="58" spans="1:10" ht="21.75" customHeight="1">
      <c r="A58" s="39" t="s">
        <v>190</v>
      </c>
      <c r="B58" s="35" t="s">
        <v>176</v>
      </c>
      <c r="C58" s="36" t="s">
        <v>148</v>
      </c>
      <c r="D58" s="36" t="s">
        <v>142</v>
      </c>
      <c r="E58" s="27" t="s">
        <v>152</v>
      </c>
      <c r="F58" s="27" t="s">
        <v>179</v>
      </c>
      <c r="G58" s="27" t="s">
        <v>209</v>
      </c>
      <c r="H58" s="34" t="s">
        <v>205</v>
      </c>
      <c r="I58" s="39">
        <v>12030020</v>
      </c>
      <c r="J58" s="39" t="s">
        <v>213</v>
      </c>
    </row>
    <row r="59" spans="1:10" ht="21.75" customHeight="1">
      <c r="A59" s="39" t="s">
        <v>190</v>
      </c>
      <c r="B59" s="35" t="s">
        <v>176</v>
      </c>
      <c r="C59" s="36" t="s">
        <v>148</v>
      </c>
      <c r="D59" s="36" t="s">
        <v>145</v>
      </c>
      <c r="E59" s="27" t="s">
        <v>150</v>
      </c>
      <c r="F59" s="27" t="s">
        <v>179</v>
      </c>
      <c r="G59" s="27" t="s">
        <v>171</v>
      </c>
      <c r="H59" s="34" t="s">
        <v>205</v>
      </c>
      <c r="I59" s="39">
        <v>12030023</v>
      </c>
      <c r="J59" s="39" t="s">
        <v>214</v>
      </c>
    </row>
    <row r="60" spans="1:10" ht="21.75" customHeight="1">
      <c r="A60" s="39" t="s">
        <v>190</v>
      </c>
      <c r="B60" s="35" t="s">
        <v>176</v>
      </c>
      <c r="C60" s="36" t="s">
        <v>156</v>
      </c>
      <c r="D60" s="36" t="s">
        <v>135</v>
      </c>
      <c r="E60" s="27" t="s">
        <v>154</v>
      </c>
      <c r="F60" s="27" t="s">
        <v>150</v>
      </c>
      <c r="G60" s="27" t="s">
        <v>171</v>
      </c>
      <c r="H60" s="34" t="s">
        <v>205</v>
      </c>
      <c r="I60" s="39">
        <v>12030018</v>
      </c>
      <c r="J60" s="39" t="s">
        <v>215</v>
      </c>
    </row>
    <row r="61" spans="1:10" ht="21.75" customHeight="1">
      <c r="A61" s="39" t="s">
        <v>190</v>
      </c>
      <c r="B61" s="35" t="s">
        <v>176</v>
      </c>
      <c r="C61" s="36" t="s">
        <v>156</v>
      </c>
      <c r="D61" s="36" t="s">
        <v>139</v>
      </c>
      <c r="E61" s="27" t="s">
        <v>159</v>
      </c>
      <c r="F61" s="27" t="s">
        <v>171</v>
      </c>
      <c r="G61" s="27" t="s">
        <v>152</v>
      </c>
      <c r="H61" s="34" t="s">
        <v>205</v>
      </c>
      <c r="I61" s="39">
        <v>12030015</v>
      </c>
      <c r="J61" s="39" t="s">
        <v>216</v>
      </c>
    </row>
    <row r="62" spans="1:10" ht="21.75" customHeight="1">
      <c r="A62" s="39" t="s">
        <v>190</v>
      </c>
      <c r="B62" s="35" t="s">
        <v>176</v>
      </c>
      <c r="C62" s="36" t="s">
        <v>156</v>
      </c>
      <c r="D62" s="36" t="s">
        <v>142</v>
      </c>
      <c r="E62" s="27" t="s">
        <v>154</v>
      </c>
      <c r="F62" s="27" t="s">
        <v>171</v>
      </c>
      <c r="G62" s="27" t="s">
        <v>150</v>
      </c>
      <c r="H62" s="34" t="s">
        <v>205</v>
      </c>
      <c r="I62" s="39">
        <v>12030021</v>
      </c>
      <c r="J62" s="39" t="s">
        <v>217</v>
      </c>
    </row>
    <row r="63" spans="1:10" ht="21.75" customHeight="1">
      <c r="A63" s="39" t="s">
        <v>190</v>
      </c>
      <c r="B63" s="35" t="s">
        <v>176</v>
      </c>
      <c r="C63" s="36" t="s">
        <v>156</v>
      </c>
      <c r="D63" s="36" t="s">
        <v>145</v>
      </c>
      <c r="E63" s="27" t="s">
        <v>154</v>
      </c>
      <c r="F63" s="27" t="s">
        <v>150</v>
      </c>
      <c r="G63" s="27" t="s">
        <v>171</v>
      </c>
      <c r="H63" s="34" t="s">
        <v>205</v>
      </c>
      <c r="I63" s="39">
        <v>12030024</v>
      </c>
      <c r="J63" s="39" t="s">
        <v>218</v>
      </c>
    </row>
    <row r="64" spans="1:10" ht="21.75" customHeight="1">
      <c r="A64" s="39" t="s">
        <v>190</v>
      </c>
      <c r="B64" s="37" t="s">
        <v>185</v>
      </c>
      <c r="C64" s="38" t="s">
        <v>134</v>
      </c>
      <c r="D64" s="38" t="s">
        <v>135</v>
      </c>
      <c r="E64" s="27" t="s">
        <v>136</v>
      </c>
      <c r="F64" s="27" t="s">
        <v>150</v>
      </c>
      <c r="G64" s="27" t="s">
        <v>179</v>
      </c>
      <c r="H64" s="30" t="s">
        <v>186</v>
      </c>
      <c r="I64" s="39">
        <v>12030028</v>
      </c>
      <c r="J64" s="39" t="s">
        <v>219</v>
      </c>
    </row>
    <row r="65" spans="1:10" ht="21.75" customHeight="1">
      <c r="A65" s="39" t="s">
        <v>190</v>
      </c>
      <c r="B65" s="37" t="s">
        <v>185</v>
      </c>
      <c r="C65" s="38" t="s">
        <v>134</v>
      </c>
      <c r="D65" s="38" t="s">
        <v>139</v>
      </c>
      <c r="E65" s="27" t="s">
        <v>140</v>
      </c>
      <c r="F65" s="27" t="s">
        <v>143</v>
      </c>
      <c r="G65" s="27" t="s">
        <v>194</v>
      </c>
      <c r="H65" s="30" t="s">
        <v>186</v>
      </c>
      <c r="I65" s="39">
        <v>12030025</v>
      </c>
      <c r="J65" s="39" t="s">
        <v>220</v>
      </c>
    </row>
    <row r="66" spans="1:10" ht="21.75" customHeight="1">
      <c r="A66" s="39" t="s">
        <v>190</v>
      </c>
      <c r="B66" s="37" t="s">
        <v>185</v>
      </c>
      <c r="C66" s="38" t="s">
        <v>134</v>
      </c>
      <c r="D66" s="38" t="s">
        <v>145</v>
      </c>
      <c r="E66" s="27" t="s">
        <v>146</v>
      </c>
      <c r="F66" s="27" t="s">
        <v>140</v>
      </c>
      <c r="G66" s="27" t="s">
        <v>143</v>
      </c>
      <c r="H66" s="30" t="s">
        <v>186</v>
      </c>
      <c r="I66" s="39">
        <v>12030031</v>
      </c>
      <c r="J66" s="39" t="s">
        <v>221</v>
      </c>
    </row>
    <row r="67" spans="1:10" ht="21.75" customHeight="1">
      <c r="A67" s="39" t="s">
        <v>190</v>
      </c>
      <c r="B67" s="37" t="s">
        <v>185</v>
      </c>
      <c r="C67" s="38" t="s">
        <v>134</v>
      </c>
      <c r="D67" s="38" t="s">
        <v>145</v>
      </c>
      <c r="E67" s="39" t="s">
        <v>154</v>
      </c>
      <c r="F67" s="39" t="s">
        <v>143</v>
      </c>
      <c r="G67" s="39" t="s">
        <v>136</v>
      </c>
      <c r="H67" s="30" t="s">
        <v>186</v>
      </c>
      <c r="I67" s="39">
        <v>12030034</v>
      </c>
      <c r="J67" s="39" t="s">
        <v>221</v>
      </c>
    </row>
    <row r="68" spans="1:10" ht="21.75" customHeight="1">
      <c r="A68" s="39" t="s">
        <v>190</v>
      </c>
      <c r="B68" s="37" t="s">
        <v>185</v>
      </c>
      <c r="C68" s="38" t="s">
        <v>134</v>
      </c>
      <c r="D68" s="38" t="s">
        <v>145</v>
      </c>
      <c r="E68" s="39" t="s">
        <v>171</v>
      </c>
      <c r="F68" s="39" t="s">
        <v>154</v>
      </c>
      <c r="G68" s="39" t="s">
        <v>152</v>
      </c>
      <c r="H68" s="30" t="s">
        <v>186</v>
      </c>
      <c r="I68" s="39">
        <v>12030037</v>
      </c>
      <c r="J68" s="39" t="s">
        <v>221</v>
      </c>
    </row>
    <row r="69" spans="1:10" ht="21.75" customHeight="1">
      <c r="A69" s="39" t="s">
        <v>190</v>
      </c>
      <c r="B69" s="37" t="s">
        <v>185</v>
      </c>
      <c r="C69" s="38" t="s">
        <v>148</v>
      </c>
      <c r="D69" s="38" t="s">
        <v>135</v>
      </c>
      <c r="E69" s="27" t="s">
        <v>143</v>
      </c>
      <c r="F69" s="27" t="s">
        <v>179</v>
      </c>
      <c r="G69" s="27" t="s">
        <v>154</v>
      </c>
      <c r="H69" s="30" t="s">
        <v>186</v>
      </c>
      <c r="I69" s="39">
        <v>12030029</v>
      </c>
      <c r="J69" s="39" t="s">
        <v>222</v>
      </c>
    </row>
    <row r="70" spans="1:10" ht="21.75" customHeight="1">
      <c r="A70" s="39" t="s">
        <v>190</v>
      </c>
      <c r="B70" s="37" t="s">
        <v>185</v>
      </c>
      <c r="C70" s="38" t="s">
        <v>148</v>
      </c>
      <c r="D70" s="38" t="s">
        <v>139</v>
      </c>
      <c r="E70" s="27" t="s">
        <v>150</v>
      </c>
      <c r="F70" s="27" t="s">
        <v>154</v>
      </c>
      <c r="G70" s="27" t="s">
        <v>171</v>
      </c>
      <c r="H70" s="30" t="s">
        <v>186</v>
      </c>
      <c r="I70" s="39">
        <v>12030026</v>
      </c>
      <c r="J70" s="39" t="s">
        <v>223</v>
      </c>
    </row>
    <row r="71" spans="1:10" ht="21.75" customHeight="1">
      <c r="A71" s="39" t="s">
        <v>190</v>
      </c>
      <c r="B71" s="37" t="s">
        <v>185</v>
      </c>
      <c r="C71" s="38" t="s">
        <v>148</v>
      </c>
      <c r="D71" s="38" t="s">
        <v>145</v>
      </c>
      <c r="E71" s="39" t="s">
        <v>171</v>
      </c>
      <c r="F71" s="39" t="s">
        <v>209</v>
      </c>
      <c r="G71" s="39" t="s">
        <v>152</v>
      </c>
      <c r="H71" s="30" t="s">
        <v>186</v>
      </c>
      <c r="I71" s="39">
        <v>12030032</v>
      </c>
      <c r="J71" s="39" t="s">
        <v>224</v>
      </c>
    </row>
    <row r="72" spans="1:10" ht="21.75" customHeight="1">
      <c r="A72" s="39" t="s">
        <v>190</v>
      </c>
      <c r="B72" s="37" t="s">
        <v>185</v>
      </c>
      <c r="C72" s="38" t="s">
        <v>148</v>
      </c>
      <c r="D72" s="38" t="s">
        <v>145</v>
      </c>
      <c r="E72" s="27" t="s">
        <v>154</v>
      </c>
      <c r="F72" s="27" t="s">
        <v>150</v>
      </c>
      <c r="G72" s="27" t="s">
        <v>152</v>
      </c>
      <c r="H72" s="30" t="s">
        <v>186</v>
      </c>
      <c r="I72" s="39">
        <v>12030035</v>
      </c>
      <c r="J72" s="39" t="s">
        <v>224</v>
      </c>
    </row>
    <row r="73" spans="1:10" ht="21.75" customHeight="1">
      <c r="A73" s="39" t="s">
        <v>190</v>
      </c>
      <c r="B73" s="37" t="s">
        <v>185</v>
      </c>
      <c r="C73" s="38" t="s">
        <v>148</v>
      </c>
      <c r="D73" s="38" t="s">
        <v>145</v>
      </c>
      <c r="E73" s="39" t="s">
        <v>159</v>
      </c>
      <c r="F73" s="39" t="s">
        <v>154</v>
      </c>
      <c r="G73" s="39" t="s">
        <v>197</v>
      </c>
      <c r="H73" s="30" t="s">
        <v>186</v>
      </c>
      <c r="I73" s="39">
        <v>12030038</v>
      </c>
      <c r="J73" s="39" t="s">
        <v>224</v>
      </c>
    </row>
    <row r="74" spans="1:10" ht="21.75" customHeight="1">
      <c r="A74" s="39" t="s">
        <v>190</v>
      </c>
      <c r="B74" s="37" t="s">
        <v>185</v>
      </c>
      <c r="C74" s="38" t="s">
        <v>156</v>
      </c>
      <c r="D74" s="38" t="s">
        <v>135</v>
      </c>
      <c r="E74" s="27" t="s">
        <v>157</v>
      </c>
      <c r="F74" s="27" t="s">
        <v>150</v>
      </c>
      <c r="G74" s="27" t="s">
        <v>171</v>
      </c>
      <c r="H74" s="30" t="s">
        <v>186</v>
      </c>
      <c r="I74" s="39">
        <v>12030030</v>
      </c>
      <c r="J74" s="39" t="s">
        <v>225</v>
      </c>
    </row>
    <row r="75" spans="1:10" ht="21.75" customHeight="1">
      <c r="A75" s="39" t="s">
        <v>190</v>
      </c>
      <c r="B75" s="37" t="s">
        <v>185</v>
      </c>
      <c r="C75" s="38" t="s">
        <v>156</v>
      </c>
      <c r="D75" s="38" t="s">
        <v>139</v>
      </c>
      <c r="E75" s="27" t="s">
        <v>159</v>
      </c>
      <c r="F75" s="27" t="s">
        <v>159</v>
      </c>
      <c r="G75" s="27" t="s">
        <v>201</v>
      </c>
      <c r="H75" s="30" t="s">
        <v>186</v>
      </c>
      <c r="I75" s="39">
        <v>12030027</v>
      </c>
      <c r="J75" s="39" t="s">
        <v>226</v>
      </c>
    </row>
    <row r="76" spans="1:10" ht="21.75" customHeight="1">
      <c r="A76" s="39" t="s">
        <v>190</v>
      </c>
      <c r="B76" s="37" t="s">
        <v>185</v>
      </c>
      <c r="C76" s="38" t="s">
        <v>156</v>
      </c>
      <c r="D76" s="38" t="s">
        <v>145</v>
      </c>
      <c r="E76" s="27" t="s">
        <v>159</v>
      </c>
      <c r="F76" s="27" t="s">
        <v>143</v>
      </c>
      <c r="G76" s="27" t="s">
        <v>201</v>
      </c>
      <c r="H76" s="30" t="s">
        <v>186</v>
      </c>
      <c r="I76" s="39">
        <v>12030039</v>
      </c>
      <c r="J76" s="39" t="s">
        <v>227</v>
      </c>
    </row>
    <row r="77" spans="1:10" ht="21.75" customHeight="1">
      <c r="A77" s="39" t="s">
        <v>190</v>
      </c>
      <c r="B77" s="37" t="s">
        <v>185</v>
      </c>
      <c r="C77" s="38" t="s">
        <v>156</v>
      </c>
      <c r="D77" s="38" t="s">
        <v>145</v>
      </c>
      <c r="E77" s="39" t="s">
        <v>146</v>
      </c>
      <c r="F77" s="39" t="s">
        <v>171</v>
      </c>
      <c r="G77" s="39" t="s">
        <v>197</v>
      </c>
      <c r="H77" s="30" t="s">
        <v>186</v>
      </c>
      <c r="I77" s="39">
        <v>12030033</v>
      </c>
      <c r="J77" s="39" t="s">
        <v>227</v>
      </c>
    </row>
    <row r="78" spans="1:10" ht="21.75" customHeight="1">
      <c r="A78" s="39" t="s">
        <v>190</v>
      </c>
      <c r="B78" s="37" t="s">
        <v>185</v>
      </c>
      <c r="C78" s="38" t="s">
        <v>156</v>
      </c>
      <c r="D78" s="38" t="s">
        <v>145</v>
      </c>
      <c r="E78" s="39" t="s">
        <v>154</v>
      </c>
      <c r="F78" s="39" t="s">
        <v>179</v>
      </c>
      <c r="G78" s="39" t="s">
        <v>152</v>
      </c>
      <c r="H78" s="30" t="s">
        <v>186</v>
      </c>
      <c r="I78" s="39">
        <v>12030036</v>
      </c>
      <c r="J78" s="39" t="s">
        <v>227</v>
      </c>
    </row>
    <row r="80" spans="1:10" ht="6" customHeight="1">
      <c r="A80" s="158"/>
      <c r="B80" s="158"/>
      <c r="C80" s="158"/>
      <c r="D80" s="158"/>
      <c r="E80" s="158"/>
      <c r="F80" s="158"/>
      <c r="G80" s="158"/>
      <c r="H80" s="158"/>
    </row>
    <row r="81" spans="1:6" ht="24" customHeight="1">
      <c r="A81" s="185" t="s">
        <v>228</v>
      </c>
      <c r="B81" s="142"/>
      <c r="C81" s="24" t="s">
        <v>229</v>
      </c>
      <c r="D81" s="31" t="s">
        <v>230</v>
      </c>
      <c r="E81" s="39" t="s">
        <v>231</v>
      </c>
    </row>
    <row r="82" spans="1:6" ht="24" customHeight="1">
      <c r="A82" s="185" t="s">
        <v>232</v>
      </c>
      <c r="B82" s="142"/>
      <c r="C82" s="40" t="s">
        <v>233</v>
      </c>
      <c r="D82" s="41" t="s">
        <v>234</v>
      </c>
      <c r="E82" s="42" t="s">
        <v>235</v>
      </c>
      <c r="F82" s="43" t="s">
        <v>236</v>
      </c>
    </row>
  </sheetData>
  <mergeCells count="5">
    <mergeCell ref="A1:H1"/>
    <mergeCell ref="A82:B82"/>
    <mergeCell ref="A81:B81"/>
    <mergeCell ref="A2:H2"/>
    <mergeCell ref="A80:H80"/>
  </mergeCells>
  <phoneticPr fontId="74" type="noConversion"/>
  <hyperlinks>
    <hyperlink ref="B4" r:id="rId1" location="📌%20기획%20의도!A1" xr:uid="{00000000-0004-0000-0300-000000000000}"/>
    <hyperlink ref="B5" r:id="rId2" location="📌%20기획%20의도!A1" xr:uid="{00000000-0004-0000-0300-000001000000}"/>
    <hyperlink ref="B6" r:id="rId3" location="📌%20기획%20의도!A1" xr:uid="{00000000-0004-0000-0300-000002000000}"/>
    <hyperlink ref="B7" r:id="rId4" location="📌%20기획%20의도!A1" xr:uid="{00000000-0004-0000-0300-000003000000}"/>
    <hyperlink ref="B8" r:id="rId5" location="📌%20기획%20의도!A1" xr:uid="{00000000-0004-0000-0300-000004000000}"/>
    <hyperlink ref="B9" r:id="rId6" location="📌%20기획%20의도!A1" xr:uid="{00000000-0004-0000-0300-000005000000}"/>
    <hyperlink ref="B10" r:id="rId7" location="📌%20기획%20의도!A1" xr:uid="{00000000-0004-0000-0300-000006000000}"/>
    <hyperlink ref="B11" r:id="rId8" location="📌%20기획%20의도!A1" xr:uid="{00000000-0004-0000-0300-000007000000}"/>
    <hyperlink ref="B12" r:id="rId9" location="📌%20기획%20의도!A1" xr:uid="{00000000-0004-0000-0300-000008000000}"/>
    <hyperlink ref="B13" r:id="rId10" location="📌%20기획%20의도!A1" xr:uid="{00000000-0004-0000-0300-000009000000}"/>
    <hyperlink ref="B14" r:id="rId11" location="📌%20기획%20의도!A1" xr:uid="{00000000-0004-0000-0300-00000A000000}"/>
    <hyperlink ref="B15" r:id="rId12" location="📌%20기획%20의도!A1" xr:uid="{00000000-0004-0000-0300-00000B000000}"/>
    <hyperlink ref="B16" r:id="rId13" location="🗡️%20전리품%20제작!A1" xr:uid="{00000000-0004-0000-0300-00000C000000}"/>
    <hyperlink ref="B17" r:id="rId14" location="🗡️%20전리품%20제작!A1" xr:uid="{00000000-0004-0000-0300-00000D000000}"/>
    <hyperlink ref="B18" r:id="rId15" location="🗡️%20전리품%20제작!A1" xr:uid="{00000000-0004-0000-0300-00000E000000}"/>
    <hyperlink ref="B19" r:id="rId16" location="🗡️%20전리품%20제작!A1" xr:uid="{00000000-0004-0000-0300-00000F000000}"/>
    <hyperlink ref="B20" r:id="rId17" location="🗡️%20전리품%20제작!A1" xr:uid="{00000000-0004-0000-0300-000010000000}"/>
    <hyperlink ref="B21" r:id="rId18" location="🗡️%20전리품%20제작!A1" xr:uid="{00000000-0004-0000-0300-000011000000}"/>
    <hyperlink ref="B22" r:id="rId19" location="🗡️%20전리품%20제작!A1" xr:uid="{00000000-0004-0000-0300-000012000000}"/>
    <hyperlink ref="B23" r:id="rId20" location="🗡️%20전리품%20제작!A1" xr:uid="{00000000-0004-0000-0300-000013000000}"/>
    <hyperlink ref="B24" r:id="rId21" location="🗡️%20전리품%20제작!A1" xr:uid="{00000000-0004-0000-0300-000014000000}"/>
    <hyperlink ref="B25" r:id="rId22" location="🏰%20던전%20코어%20제작!A1" xr:uid="{00000000-0004-0000-0300-000015000000}"/>
    <hyperlink ref="B26" r:id="rId23" location="🏰%20던전%20코어%20제작!A1" xr:uid="{00000000-0004-0000-0300-000016000000}"/>
    <hyperlink ref="B27" r:id="rId24" location="🏰%20던전%20코어%20제작!A1" xr:uid="{00000000-0004-0000-0300-000017000000}"/>
    <hyperlink ref="B28" r:id="rId25" location="🏰%20던전%20코어%20제작!A1" xr:uid="{00000000-0004-0000-0300-000018000000}"/>
    <hyperlink ref="B29" r:id="rId26" location="🏰%20던전%20코어%20제작!A1" xr:uid="{00000000-0004-0000-0300-000019000000}"/>
    <hyperlink ref="B30" r:id="rId27" location="🏰%20던전%20코어%20제작!A1" xr:uid="{00000000-0004-0000-0300-00001A000000}"/>
    <hyperlink ref="B31" r:id="rId28" location="🏰%20던전%20코어%20제작!A1" xr:uid="{00000000-0004-0000-0300-00001B000000}"/>
    <hyperlink ref="B32" r:id="rId29" location="🏰%20던전%20코어%20제작!A1" xr:uid="{00000000-0004-0000-0300-00001C000000}"/>
    <hyperlink ref="B33" r:id="rId30" location="🏰%20던전%20코어%20제작!A1" xr:uid="{00000000-0004-0000-0300-00001D000000}"/>
    <hyperlink ref="B34" r:id="rId31" location="🎲%20드랍률%20설계!A1" xr:uid="{00000000-0004-0000-0300-00001E000000}"/>
    <hyperlink ref="B37" r:id="rId32" location="🎲%20드랍률%20설계!A1" xr:uid="{00000000-0004-0000-0300-00001F000000}"/>
    <hyperlink ref="B39" r:id="rId33" location="🎲%20드랍률%20설계!A1" xr:uid="{00000000-0004-0000-0300-000020000000}"/>
    <hyperlink ref="B40" r:id="rId34" location="🗡️%20전리품%20제작!A1" xr:uid="{00000000-0004-0000-0300-000021000000}"/>
    <hyperlink ref="B41" r:id="rId35" location="🗡️%20전리품%20제작!A1" xr:uid="{00000000-0004-0000-0300-000022000000}"/>
    <hyperlink ref="B42" r:id="rId36" location="🗡️%20전리품%20제작!A1" xr:uid="{00000000-0004-0000-0300-000023000000}"/>
    <hyperlink ref="B43" r:id="rId37" location="🗡️%20전리품%20제작!A1" xr:uid="{00000000-0004-0000-0300-000024000000}"/>
    <hyperlink ref="B44" r:id="rId38" location="🗡️%20전리품%20제작!A1" xr:uid="{00000000-0004-0000-0300-000025000000}"/>
    <hyperlink ref="B45" r:id="rId39" location="🗡️%20전리품%20제작!A1" xr:uid="{00000000-0004-0000-0300-000026000000}"/>
    <hyperlink ref="B46" r:id="rId40" location="🗡️%20전리품%20제작!A1" xr:uid="{00000000-0004-0000-0300-000027000000}"/>
    <hyperlink ref="B47" r:id="rId41" location="🗡️%20전리품%20제작!A1" xr:uid="{00000000-0004-0000-0300-000028000000}"/>
    <hyperlink ref="B48" r:id="rId42" location="🗡️%20전리품%20제작!A1" xr:uid="{00000000-0004-0000-0300-000029000000}"/>
    <hyperlink ref="B49" r:id="rId43" location="🗡️%20전리품%20제작!A1" xr:uid="{00000000-0004-0000-0300-00002A000000}"/>
    <hyperlink ref="B50" r:id="rId44" location="🗡️%20전리품%20제작!A1" xr:uid="{00000000-0004-0000-0300-00002B000000}"/>
    <hyperlink ref="B51" r:id="rId45" location="🗡️%20전리품%20제작!A1" xr:uid="{00000000-0004-0000-0300-00002C000000}"/>
    <hyperlink ref="B52" r:id="rId46" location="🏰%20던전%20코어%20제작!A1" xr:uid="{00000000-0004-0000-0300-00002D000000}"/>
    <hyperlink ref="B53" r:id="rId47" location="🏰%20던전%20코어%20제작!A1" xr:uid="{00000000-0004-0000-0300-00002E000000}"/>
    <hyperlink ref="B54" r:id="rId48" location="🏰%20던전%20코어%20제작!A1" xr:uid="{00000000-0004-0000-0300-00002F000000}"/>
    <hyperlink ref="B55" r:id="rId49" location="🏰%20던전%20코어%20제작!A1" xr:uid="{00000000-0004-0000-0300-000030000000}"/>
    <hyperlink ref="B56" r:id="rId50" location="🏰%20던전%20코어%20제작!A1" xr:uid="{00000000-0004-0000-0300-000031000000}"/>
    <hyperlink ref="B57" r:id="rId51" location="🏰%20던전%20코어%20제작!A1" xr:uid="{00000000-0004-0000-0300-000032000000}"/>
    <hyperlink ref="B58" r:id="rId52" location="🏰%20던전%20코어%20제작!A1" xr:uid="{00000000-0004-0000-0300-000033000000}"/>
    <hyperlink ref="B59" r:id="rId53" location="🏰%20던전%20코어%20제작!A1" xr:uid="{00000000-0004-0000-0300-000034000000}"/>
    <hyperlink ref="B60" r:id="rId54" location="🏰%20던전%20코어%20제작!A1" xr:uid="{00000000-0004-0000-0300-000035000000}"/>
    <hyperlink ref="B61" r:id="rId55" location="🏰%20던전%20코어%20제작!A1" xr:uid="{00000000-0004-0000-0300-000036000000}"/>
    <hyperlink ref="B62" r:id="rId56" location="🏰%20던전%20코어%20제작!A1" xr:uid="{00000000-0004-0000-0300-000037000000}"/>
    <hyperlink ref="B63" r:id="rId57" location="🏰%20던전%20코어%20제작!A1" xr:uid="{00000000-0004-0000-0300-000038000000}"/>
    <hyperlink ref="B64" r:id="rId58" location="🎲%20드랍률%20설계!A1" xr:uid="{00000000-0004-0000-0300-000039000000}"/>
    <hyperlink ref="B65" r:id="rId59" location="🎲%20드랍률%20설계!A1" xr:uid="{00000000-0004-0000-0300-00003A000000}"/>
    <hyperlink ref="B66" r:id="rId60" location="🎲%20드랍률%20설계!A1" xr:uid="{00000000-0004-0000-0300-00003B000000}"/>
    <hyperlink ref="B67" r:id="rId61" location="🎲%20드랍률%20설계!A1" xr:uid="{00000000-0004-0000-0300-00003C000000}"/>
    <hyperlink ref="B68" r:id="rId62" location="🎲%20드랍률%20설계!A1" xr:uid="{00000000-0004-0000-0300-00003D000000}"/>
    <hyperlink ref="B69" r:id="rId63" location="🎲%20드랍률%20설계!A1" xr:uid="{00000000-0004-0000-0300-00003E000000}"/>
    <hyperlink ref="B70" r:id="rId64" location="🎲%20드랍률%20설계!A1" xr:uid="{00000000-0004-0000-0300-00003F000000}"/>
    <hyperlink ref="B71" r:id="rId65" location="🎲%20드랍률%20설계!A1" xr:uid="{00000000-0004-0000-0300-000040000000}"/>
    <hyperlink ref="B72" r:id="rId66" location="🎲%20드랍률%20설계!A1" xr:uid="{00000000-0004-0000-0300-000041000000}"/>
    <hyperlink ref="B73" r:id="rId67" location="🎲%20드랍률%20설계!A1" xr:uid="{00000000-0004-0000-0300-000042000000}"/>
    <hyperlink ref="B74" r:id="rId68" location="🎲%20드랍률%20설계!A1" xr:uid="{00000000-0004-0000-0300-000043000000}"/>
    <hyperlink ref="B75" r:id="rId69" location="🎲%20드랍률%20설계!A1" xr:uid="{00000000-0004-0000-0300-000044000000}"/>
    <hyperlink ref="B76" r:id="rId70" location="🎲%20드랍률%20설계!A1" xr:uid="{00000000-0004-0000-0300-000045000000}"/>
    <hyperlink ref="B77" r:id="rId71" location="🎲%20드랍률%20설계!A1" xr:uid="{00000000-0004-0000-0300-000046000000}"/>
    <hyperlink ref="B78" r:id="rId72" location="🎲%20드랍률%20설계!A1" xr:uid="{00000000-0004-0000-0300-000047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1"/>
  <sheetViews>
    <sheetView showGridLines="0" zoomScaleNormal="100" workbookViewId="0">
      <selection activeCell="P12" sqref="P12"/>
    </sheetView>
  </sheetViews>
  <sheetFormatPr defaultColWidth="8.7109375" defaultRowHeight="15"/>
  <cols>
    <col min="1" max="1" width="60" style="129" customWidth="1"/>
    <col min="2" max="2" width="10" style="129" customWidth="1"/>
    <col min="3" max="3" width="12" style="129" customWidth="1"/>
    <col min="4" max="4" width="11" style="129" customWidth="1"/>
    <col min="5" max="5" width="12" style="129" customWidth="1"/>
    <col min="6" max="6" width="13" style="129" customWidth="1"/>
    <col min="7" max="7" width="14" style="129" customWidth="1"/>
    <col min="8" max="8" width="10" style="129" customWidth="1"/>
    <col min="9" max="9" width="14" style="129" customWidth="1"/>
    <col min="10" max="10" width="17" style="129" customWidth="1"/>
    <col min="11" max="11" width="18" style="129" customWidth="1"/>
    <col min="12" max="12" width="27.5703125" style="129" customWidth="1"/>
    <col min="13" max="13" width="13.85546875" style="129" customWidth="1"/>
    <col min="14" max="14" width="12.85546875" style="129" customWidth="1"/>
  </cols>
  <sheetData>
    <row r="1" spans="1:12" ht="27.75" customHeight="1">
      <c r="A1" s="181" t="s">
        <v>237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44" t="s">
        <v>41</v>
      </c>
    </row>
    <row r="2" spans="1:12" ht="15.75" customHeight="1">
      <c r="A2" s="177" t="s">
        <v>238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</row>
    <row r="3" spans="1:12" ht="36" customHeight="1">
      <c r="A3" s="176" t="s">
        <v>71</v>
      </c>
      <c r="B3" s="176" t="s">
        <v>239</v>
      </c>
      <c r="C3" s="176" t="s">
        <v>240</v>
      </c>
      <c r="D3" s="176" t="s">
        <v>241</v>
      </c>
      <c r="E3" s="175"/>
      <c r="F3" s="176" t="s">
        <v>74</v>
      </c>
      <c r="G3" s="175"/>
      <c r="H3" s="176" t="s">
        <v>76</v>
      </c>
      <c r="I3" s="176" t="s">
        <v>242</v>
      </c>
      <c r="J3" s="117" t="s">
        <v>243</v>
      </c>
      <c r="K3" s="118" t="s">
        <v>244</v>
      </c>
      <c r="L3" s="176" t="s">
        <v>129</v>
      </c>
    </row>
    <row r="4" spans="1:12" ht="21.75" customHeight="1">
      <c r="A4" s="179"/>
      <c r="B4" s="179"/>
      <c r="C4" s="179"/>
      <c r="D4" s="14" t="s">
        <v>78</v>
      </c>
      <c r="E4" s="14" t="s">
        <v>79</v>
      </c>
      <c r="F4" s="14" t="s">
        <v>78</v>
      </c>
      <c r="G4" s="14" t="s">
        <v>79</v>
      </c>
      <c r="H4" s="179"/>
      <c r="I4" s="179"/>
      <c r="J4" s="119" t="s">
        <v>245</v>
      </c>
      <c r="K4" s="120" t="s">
        <v>246</v>
      </c>
      <c r="L4" s="179"/>
    </row>
    <row r="5" spans="1:12" ht="21.75" customHeight="1">
      <c r="A5" s="16" t="s">
        <v>80</v>
      </c>
      <c r="B5" s="17" t="s">
        <v>247</v>
      </c>
      <c r="C5" s="17" t="s">
        <v>248</v>
      </c>
      <c r="D5" s="17">
        <v>2</v>
      </c>
      <c r="E5" s="17">
        <v>1</v>
      </c>
      <c r="F5" s="17" t="s">
        <v>81</v>
      </c>
      <c r="G5" s="17" t="s">
        <v>81</v>
      </c>
      <c r="H5" s="17">
        <v>20</v>
      </c>
      <c r="I5" s="17" t="s">
        <v>249</v>
      </c>
      <c r="J5" s="121" t="s">
        <v>250</v>
      </c>
      <c r="K5" s="122" t="s">
        <v>251</v>
      </c>
      <c r="L5" s="18" t="s">
        <v>252</v>
      </c>
    </row>
    <row r="6" spans="1:12" ht="21.75" customHeight="1">
      <c r="A6" s="16" t="s">
        <v>83</v>
      </c>
      <c r="B6" s="19" t="s">
        <v>84</v>
      </c>
      <c r="C6" s="19" t="s">
        <v>85</v>
      </c>
      <c r="D6" s="19">
        <v>20</v>
      </c>
      <c r="E6" s="19">
        <v>10</v>
      </c>
      <c r="F6" s="19">
        <v>10</v>
      </c>
      <c r="G6" s="19">
        <v>5</v>
      </c>
      <c r="H6" s="19">
        <v>200</v>
      </c>
      <c r="I6" s="19" t="s">
        <v>85</v>
      </c>
      <c r="J6" s="121" t="s">
        <v>253</v>
      </c>
      <c r="K6" s="122" t="s">
        <v>250</v>
      </c>
      <c r="L6" s="45" t="s">
        <v>254</v>
      </c>
    </row>
    <row r="7" spans="1:12" ht="21.75" customHeight="1">
      <c r="A7" s="16" t="s">
        <v>87</v>
      </c>
      <c r="B7" s="17" t="s">
        <v>88</v>
      </c>
      <c r="C7" s="17" t="s">
        <v>89</v>
      </c>
      <c r="D7" s="17">
        <v>40</v>
      </c>
      <c r="E7" s="17">
        <v>20</v>
      </c>
      <c r="F7" s="17">
        <v>20</v>
      </c>
      <c r="G7" s="17">
        <v>10</v>
      </c>
      <c r="H7" s="17">
        <v>400</v>
      </c>
      <c r="I7" s="17" t="s">
        <v>89</v>
      </c>
      <c r="J7" s="121" t="s">
        <v>255</v>
      </c>
      <c r="K7" s="122" t="s">
        <v>256</v>
      </c>
      <c r="L7" s="46" t="s">
        <v>257</v>
      </c>
    </row>
    <row r="8" spans="1:12" ht="21.75" customHeight="1">
      <c r="A8" s="16" t="s">
        <v>91</v>
      </c>
      <c r="B8" s="19" t="s">
        <v>92</v>
      </c>
      <c r="C8" s="19" t="s">
        <v>93</v>
      </c>
      <c r="D8" s="19">
        <v>60</v>
      </c>
      <c r="E8" s="19">
        <v>30</v>
      </c>
      <c r="F8" s="19">
        <v>30</v>
      </c>
      <c r="G8" s="19">
        <v>15</v>
      </c>
      <c r="H8" s="19">
        <v>600</v>
      </c>
      <c r="I8" s="19" t="s">
        <v>93</v>
      </c>
      <c r="J8" s="121" t="s">
        <v>258</v>
      </c>
      <c r="K8" s="122" t="s">
        <v>259</v>
      </c>
      <c r="L8" s="45" t="s">
        <v>260</v>
      </c>
    </row>
    <row r="9" spans="1:12" ht="21.75" customHeight="1">
      <c r="A9" s="16" t="s">
        <v>95</v>
      </c>
      <c r="B9" s="17" t="s">
        <v>96</v>
      </c>
      <c r="C9" s="17" t="s">
        <v>97</v>
      </c>
      <c r="D9" s="17">
        <v>100</v>
      </c>
      <c r="E9" s="17">
        <v>50</v>
      </c>
      <c r="F9" s="17">
        <v>50</v>
      </c>
      <c r="G9" s="17">
        <v>25</v>
      </c>
      <c r="H9" s="17">
        <v>1000</v>
      </c>
      <c r="I9" s="17" t="s">
        <v>97</v>
      </c>
      <c r="J9" s="121" t="s">
        <v>261</v>
      </c>
      <c r="K9" s="122" t="s">
        <v>262</v>
      </c>
      <c r="L9" s="46" t="s">
        <v>263</v>
      </c>
    </row>
    <row r="10" spans="1:12" ht="21.75" customHeight="1">
      <c r="A10" s="16" t="s">
        <v>99</v>
      </c>
      <c r="B10" s="19" t="s">
        <v>100</v>
      </c>
      <c r="C10" s="19" t="s">
        <v>101</v>
      </c>
      <c r="D10" s="19">
        <v>200</v>
      </c>
      <c r="E10" s="19">
        <v>100</v>
      </c>
      <c r="F10" s="19">
        <v>100</v>
      </c>
      <c r="G10" s="19">
        <v>50</v>
      </c>
      <c r="H10" s="19">
        <v>2000</v>
      </c>
      <c r="I10" s="19" t="s">
        <v>264</v>
      </c>
      <c r="J10" s="121" t="s">
        <v>265</v>
      </c>
      <c r="K10" s="122" t="s">
        <v>253</v>
      </c>
      <c r="L10" s="45" t="s">
        <v>266</v>
      </c>
    </row>
    <row r="11" spans="1:12" ht="21.75" customHeight="1">
      <c r="A11" s="16" t="s">
        <v>103</v>
      </c>
      <c r="B11" s="17" t="s">
        <v>104</v>
      </c>
      <c r="C11" s="17" t="s">
        <v>105</v>
      </c>
      <c r="D11" s="17">
        <v>400</v>
      </c>
      <c r="E11" s="17">
        <v>200</v>
      </c>
      <c r="F11" s="17">
        <v>200</v>
      </c>
      <c r="G11" s="17">
        <v>100</v>
      </c>
      <c r="H11" s="17">
        <v>4000</v>
      </c>
      <c r="I11" s="17" t="s">
        <v>267</v>
      </c>
      <c r="J11" s="121" t="s">
        <v>268</v>
      </c>
      <c r="K11" s="122" t="s">
        <v>255</v>
      </c>
      <c r="L11" s="46" t="s">
        <v>269</v>
      </c>
    </row>
  </sheetData>
  <mergeCells count="10">
    <mergeCell ref="A1:K1"/>
    <mergeCell ref="F3:G3"/>
    <mergeCell ref="A2:L2"/>
    <mergeCell ref="C3:C4"/>
    <mergeCell ref="B3:B4"/>
    <mergeCell ref="A3:A4"/>
    <mergeCell ref="L3:L4"/>
    <mergeCell ref="H3:H4"/>
    <mergeCell ref="I3:I4"/>
    <mergeCell ref="D3:E3"/>
  </mergeCells>
  <phoneticPr fontId="7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6"/>
  <sheetViews>
    <sheetView showGridLines="0" zoomScaleNormal="100" workbookViewId="0">
      <selection activeCell="O9" sqref="O9"/>
    </sheetView>
  </sheetViews>
  <sheetFormatPr defaultColWidth="8.7109375" defaultRowHeight="15"/>
  <cols>
    <col min="1" max="1" width="60" style="129" customWidth="1"/>
    <col min="2" max="2" width="12" style="129" customWidth="1"/>
    <col min="3" max="3" width="11" style="129" customWidth="1"/>
    <col min="4" max="4" width="12" style="129" customWidth="1"/>
    <col min="5" max="5" width="15" style="129" customWidth="1"/>
    <col min="6" max="7" width="13" style="129" customWidth="1"/>
    <col min="8" max="8" width="11" style="129" customWidth="1"/>
    <col min="9" max="9" width="13" style="129" customWidth="1"/>
    <col min="10" max="10" width="17" style="129" customWidth="1"/>
    <col min="11" max="11" width="18" style="129" customWidth="1"/>
    <col min="12" max="12" width="26.85546875" style="129" customWidth="1"/>
    <col min="13" max="13" width="18.42578125" style="129" customWidth="1"/>
  </cols>
  <sheetData>
    <row r="1" spans="1:13" ht="27.75" customHeight="1">
      <c r="A1" s="188" t="s">
        <v>270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44" t="s">
        <v>41</v>
      </c>
    </row>
    <row r="2" spans="1:13" ht="15.75" customHeight="1">
      <c r="A2" s="189" t="s">
        <v>271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</row>
    <row r="3" spans="1:13" ht="36" customHeight="1">
      <c r="A3" s="187" t="s">
        <v>71</v>
      </c>
      <c r="B3" s="187" t="s">
        <v>272</v>
      </c>
      <c r="C3" s="187" t="s">
        <v>241</v>
      </c>
      <c r="D3" s="175"/>
      <c r="E3" s="187" t="s">
        <v>273</v>
      </c>
      <c r="F3" s="187" t="s">
        <v>274</v>
      </c>
      <c r="G3" s="187" t="s">
        <v>275</v>
      </c>
      <c r="H3" s="187" t="s">
        <v>276</v>
      </c>
      <c r="I3" s="187" t="s">
        <v>277</v>
      </c>
      <c r="J3" s="117" t="s">
        <v>243</v>
      </c>
      <c r="K3" s="118" t="s">
        <v>244</v>
      </c>
      <c r="L3" s="187" t="s">
        <v>129</v>
      </c>
    </row>
    <row r="4" spans="1:13" ht="21.75" customHeight="1">
      <c r="A4" s="179"/>
      <c r="B4" s="179"/>
      <c r="C4" s="14" t="s">
        <v>78</v>
      </c>
      <c r="D4" s="14" t="s">
        <v>79</v>
      </c>
      <c r="E4" s="179"/>
      <c r="F4" s="179"/>
      <c r="G4" s="179"/>
      <c r="H4" s="179"/>
      <c r="I4" s="179"/>
      <c r="J4" s="119" t="s">
        <v>245</v>
      </c>
      <c r="K4" s="120" t="s">
        <v>246</v>
      </c>
      <c r="L4" s="179"/>
    </row>
    <row r="5" spans="1:13" ht="21.75" customHeight="1">
      <c r="A5" s="47" t="s">
        <v>80</v>
      </c>
      <c r="B5" s="17" t="s">
        <v>81</v>
      </c>
      <c r="C5" s="17">
        <v>2</v>
      </c>
      <c r="D5" s="17">
        <v>1</v>
      </c>
      <c r="E5" s="17" t="s">
        <v>81</v>
      </c>
      <c r="F5" s="17" t="s">
        <v>81</v>
      </c>
      <c r="G5" s="17" t="s">
        <v>278</v>
      </c>
      <c r="H5" s="17" t="s">
        <v>278</v>
      </c>
      <c r="I5" s="17" t="s">
        <v>249</v>
      </c>
      <c r="J5" s="121" t="s">
        <v>250</v>
      </c>
      <c r="K5" s="122" t="s">
        <v>251</v>
      </c>
      <c r="L5" s="18" t="s">
        <v>279</v>
      </c>
    </row>
    <row r="6" spans="1:13" ht="21.75" customHeight="1">
      <c r="A6" s="47" t="s">
        <v>83</v>
      </c>
      <c r="B6" s="19" t="s">
        <v>280</v>
      </c>
      <c r="C6" s="19">
        <v>20</v>
      </c>
      <c r="D6" s="19">
        <v>10</v>
      </c>
      <c r="E6" s="19">
        <v>3</v>
      </c>
      <c r="F6" s="19">
        <v>1</v>
      </c>
      <c r="G6" s="19" t="s">
        <v>281</v>
      </c>
      <c r="H6" s="19" t="s">
        <v>282</v>
      </c>
      <c r="I6" s="19" t="s">
        <v>85</v>
      </c>
      <c r="J6" s="121" t="s">
        <v>253</v>
      </c>
      <c r="K6" s="122" t="s">
        <v>250</v>
      </c>
      <c r="L6" s="45" t="s">
        <v>283</v>
      </c>
    </row>
    <row r="7" spans="1:13" ht="21.75" customHeight="1">
      <c r="A7" s="47" t="s">
        <v>87</v>
      </c>
      <c r="B7" s="17" t="s">
        <v>262</v>
      </c>
      <c r="C7" s="17">
        <v>40</v>
      </c>
      <c r="D7" s="17">
        <v>20</v>
      </c>
      <c r="E7" s="17">
        <v>15</v>
      </c>
      <c r="F7" s="17">
        <v>3</v>
      </c>
      <c r="G7" s="17" t="s">
        <v>284</v>
      </c>
      <c r="H7" s="17" t="s">
        <v>282</v>
      </c>
      <c r="I7" s="17" t="s">
        <v>89</v>
      </c>
      <c r="J7" s="121" t="s">
        <v>255</v>
      </c>
      <c r="K7" s="122" t="s">
        <v>256</v>
      </c>
      <c r="L7" s="46" t="s">
        <v>285</v>
      </c>
    </row>
    <row r="8" spans="1:13" ht="21.75" customHeight="1">
      <c r="A8" s="47" t="s">
        <v>91</v>
      </c>
      <c r="B8" s="19" t="s">
        <v>286</v>
      </c>
      <c r="C8" s="19">
        <v>60</v>
      </c>
      <c r="D8" s="19">
        <v>30</v>
      </c>
      <c r="E8" s="19">
        <v>45</v>
      </c>
      <c r="F8" s="19">
        <v>9</v>
      </c>
      <c r="G8" s="19" t="s">
        <v>287</v>
      </c>
      <c r="H8" s="19" t="s">
        <v>282</v>
      </c>
      <c r="I8" s="19" t="s">
        <v>93</v>
      </c>
      <c r="J8" s="121" t="s">
        <v>258</v>
      </c>
      <c r="K8" s="122" t="s">
        <v>259</v>
      </c>
      <c r="L8" s="20" t="s">
        <v>288</v>
      </c>
    </row>
    <row r="9" spans="1:13" ht="21.75" customHeight="1">
      <c r="A9" s="47" t="s">
        <v>95</v>
      </c>
      <c r="B9" s="17" t="s">
        <v>261</v>
      </c>
      <c r="C9" s="17">
        <v>100</v>
      </c>
      <c r="D9" s="17">
        <v>50</v>
      </c>
      <c r="E9" s="17">
        <v>150</v>
      </c>
      <c r="F9" s="17">
        <v>30</v>
      </c>
      <c r="G9" s="17" t="s">
        <v>289</v>
      </c>
      <c r="H9" s="17" t="s">
        <v>282</v>
      </c>
      <c r="I9" s="17" t="s">
        <v>97</v>
      </c>
      <c r="J9" s="121" t="s">
        <v>261</v>
      </c>
      <c r="K9" s="122" t="s">
        <v>262</v>
      </c>
      <c r="L9" s="18" t="s">
        <v>290</v>
      </c>
    </row>
    <row r="10" spans="1:13" ht="21.75" customHeight="1">
      <c r="A10" s="47" t="s">
        <v>99</v>
      </c>
      <c r="B10" s="19" t="s">
        <v>291</v>
      </c>
      <c r="C10" s="19">
        <v>200</v>
      </c>
      <c r="D10" s="19">
        <v>100</v>
      </c>
      <c r="E10" s="19">
        <v>450</v>
      </c>
      <c r="F10" s="19">
        <v>90</v>
      </c>
      <c r="G10" s="19" t="s">
        <v>292</v>
      </c>
      <c r="H10" s="19" t="s">
        <v>282</v>
      </c>
      <c r="I10" s="19" t="s">
        <v>264</v>
      </c>
      <c r="J10" s="121" t="s">
        <v>265</v>
      </c>
      <c r="K10" s="122" t="s">
        <v>253</v>
      </c>
      <c r="L10" s="20" t="s">
        <v>293</v>
      </c>
    </row>
    <row r="11" spans="1:13" ht="21.75" customHeight="1">
      <c r="A11" s="47" t="s">
        <v>103</v>
      </c>
      <c r="B11" s="17" t="s">
        <v>294</v>
      </c>
      <c r="C11" s="17">
        <v>400</v>
      </c>
      <c r="D11" s="17">
        <v>200</v>
      </c>
      <c r="E11" s="17">
        <v>1500</v>
      </c>
      <c r="F11" s="17">
        <v>300</v>
      </c>
      <c r="G11" s="17" t="s">
        <v>295</v>
      </c>
      <c r="H11" s="17" t="s">
        <v>282</v>
      </c>
      <c r="I11" s="17" t="s">
        <v>267</v>
      </c>
      <c r="J11" s="121" t="s">
        <v>268</v>
      </c>
      <c r="K11" s="122" t="s">
        <v>255</v>
      </c>
      <c r="L11" s="18" t="s">
        <v>296</v>
      </c>
    </row>
    <row r="12" spans="1:13" ht="7.5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</row>
    <row r="13" spans="1:13" ht="19.5" customHeight="1">
      <c r="A13" s="180" t="s">
        <v>297</v>
      </c>
      <c r="B13" s="174"/>
      <c r="C13" s="174"/>
      <c r="D13" s="174"/>
      <c r="E13" s="174"/>
      <c r="F13" s="174"/>
      <c r="G13" s="174"/>
      <c r="H13" s="174"/>
      <c r="I13" s="174"/>
      <c r="J13" s="174"/>
      <c r="K13" s="174"/>
      <c r="L13" s="175"/>
    </row>
    <row r="14" spans="1:13" ht="18" customHeight="1">
      <c r="A14" s="186" t="s">
        <v>298</v>
      </c>
      <c r="B14" s="174"/>
      <c r="C14" s="174"/>
      <c r="D14" s="174"/>
      <c r="E14" s="174"/>
      <c r="F14" s="174"/>
      <c r="G14" s="174"/>
      <c r="H14" s="174"/>
      <c r="I14" s="174"/>
      <c r="J14" s="174"/>
      <c r="K14" s="174"/>
      <c r="L14" s="175"/>
    </row>
    <row r="15" spans="1:13" ht="18" customHeight="1">
      <c r="A15" s="186" t="s">
        <v>299</v>
      </c>
      <c r="B15" s="174"/>
      <c r="C15" s="174"/>
      <c r="D15" s="174"/>
      <c r="E15" s="174"/>
      <c r="F15" s="174"/>
      <c r="G15" s="174"/>
      <c r="H15" s="174"/>
      <c r="I15" s="174"/>
      <c r="J15" s="174"/>
      <c r="K15" s="174"/>
      <c r="L15" s="175"/>
    </row>
    <row r="16" spans="1:13" ht="18" customHeight="1">
      <c r="A16" s="186" t="s">
        <v>300</v>
      </c>
      <c r="B16" s="174"/>
      <c r="C16" s="174"/>
      <c r="D16" s="174"/>
      <c r="E16" s="174"/>
      <c r="F16" s="174"/>
      <c r="G16" s="174"/>
      <c r="H16" s="174"/>
      <c r="I16" s="174"/>
      <c r="J16" s="174"/>
      <c r="K16" s="174"/>
      <c r="L16" s="175"/>
    </row>
  </sheetData>
  <mergeCells count="15">
    <mergeCell ref="A16:L16"/>
    <mergeCell ref="A15:L15"/>
    <mergeCell ref="L3:L4"/>
    <mergeCell ref="A3:A4"/>
    <mergeCell ref="A1:L1"/>
    <mergeCell ref="B3:B4"/>
    <mergeCell ref="E3:E4"/>
    <mergeCell ref="A13:L13"/>
    <mergeCell ref="A14:L14"/>
    <mergeCell ref="F3:F4"/>
    <mergeCell ref="G3:G4"/>
    <mergeCell ref="H3:H4"/>
    <mergeCell ref="I3:I4"/>
    <mergeCell ref="C3:D3"/>
    <mergeCell ref="A2:M2"/>
  </mergeCells>
  <phoneticPr fontId="7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7"/>
  <sheetViews>
    <sheetView zoomScaleNormal="100" workbookViewId="0">
      <selection sqref="A1:K1"/>
    </sheetView>
  </sheetViews>
  <sheetFormatPr defaultColWidth="8.7109375" defaultRowHeight="15"/>
  <cols>
    <col min="1" max="1" width="10.7109375" style="129" bestFit="1" customWidth="1"/>
    <col min="2" max="2" width="13" style="129" customWidth="1"/>
    <col min="3" max="3" width="14" style="129" customWidth="1"/>
    <col min="4" max="4" width="16" style="129" customWidth="1"/>
    <col min="5" max="5" width="21.5703125" style="129" customWidth="1"/>
    <col min="6" max="6" width="60" style="129" customWidth="1"/>
    <col min="7" max="7" width="23.140625" style="129" customWidth="1"/>
    <col min="8" max="8" width="26.140625" style="129" customWidth="1"/>
    <col min="9" max="9" width="16" style="129" customWidth="1"/>
    <col min="10" max="10" width="24.140625" style="129" customWidth="1"/>
    <col min="11" max="11" width="13" style="129" customWidth="1"/>
  </cols>
  <sheetData>
    <row r="1" spans="1:11" ht="33.75" customHeight="1">
      <c r="A1" s="195" t="s">
        <v>301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</row>
    <row r="2" spans="1:11" ht="18" customHeight="1">
      <c r="A2" s="199" t="s">
        <v>302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</row>
    <row r="3" spans="1:11" ht="6" customHeight="1"/>
    <row r="4" spans="1:11" ht="19.5" customHeight="1">
      <c r="A4" s="197" t="s">
        <v>303</v>
      </c>
      <c r="B4" s="142"/>
      <c r="C4" s="191"/>
    </row>
    <row r="5" spans="1:11" ht="18" customHeight="1">
      <c r="A5" s="48" t="s">
        <v>304</v>
      </c>
      <c r="B5" s="49" t="s">
        <v>305</v>
      </c>
      <c r="C5" s="50" t="s">
        <v>306</v>
      </c>
      <c r="D5" s="51"/>
      <c r="E5" s="51"/>
      <c r="F5" s="51"/>
      <c r="G5" s="51"/>
      <c r="H5" s="51"/>
      <c r="I5" s="51"/>
      <c r="J5" s="51"/>
      <c r="K5" s="51"/>
    </row>
    <row r="6" spans="1:11" ht="18" customHeight="1">
      <c r="A6" s="52" t="s">
        <v>307</v>
      </c>
      <c r="B6" s="53" t="s">
        <v>308</v>
      </c>
      <c r="C6" s="54" t="s">
        <v>309</v>
      </c>
      <c r="D6" s="55"/>
      <c r="E6" s="55"/>
      <c r="F6" s="55"/>
      <c r="G6" s="55"/>
      <c r="H6" s="55"/>
      <c r="I6" s="55"/>
      <c r="J6" s="55"/>
      <c r="K6" s="55"/>
    </row>
    <row r="8" spans="1:11" ht="21.75" customHeight="1">
      <c r="A8" s="201" t="s">
        <v>310</v>
      </c>
      <c r="B8" s="158"/>
      <c r="C8" s="158"/>
      <c r="D8" s="158"/>
      <c r="E8" s="158"/>
      <c r="F8" s="158"/>
      <c r="G8" s="158"/>
      <c r="H8" s="158"/>
      <c r="I8" s="158"/>
      <c r="J8" s="158"/>
      <c r="K8" s="158"/>
    </row>
    <row r="9" spans="1:11" ht="27.75" customHeight="1">
      <c r="A9" s="194" t="s">
        <v>71</v>
      </c>
      <c r="B9" s="194" t="s">
        <v>311</v>
      </c>
      <c r="C9" s="194" t="s">
        <v>312</v>
      </c>
      <c r="D9" s="191"/>
      <c r="E9" s="194" t="s">
        <v>313</v>
      </c>
      <c r="F9" s="142"/>
      <c r="G9" s="191"/>
      <c r="H9" s="194" t="s">
        <v>314</v>
      </c>
      <c r="I9" s="142"/>
      <c r="J9" s="191"/>
      <c r="K9" s="194" t="s">
        <v>129</v>
      </c>
    </row>
    <row r="10" spans="1:11" ht="27.75" customHeight="1">
      <c r="A10" s="198"/>
      <c r="B10" s="198"/>
      <c r="C10" s="56" t="s">
        <v>315</v>
      </c>
      <c r="D10" s="56" t="s">
        <v>316</v>
      </c>
      <c r="E10" s="56" t="s">
        <v>308</v>
      </c>
      <c r="F10" s="56" t="s">
        <v>317</v>
      </c>
      <c r="G10" s="56" t="s">
        <v>318</v>
      </c>
      <c r="H10" s="56" t="s">
        <v>309</v>
      </c>
      <c r="I10" s="56" t="s">
        <v>317</v>
      </c>
      <c r="J10" s="56" t="s">
        <v>318</v>
      </c>
      <c r="K10" s="198"/>
    </row>
    <row r="11" spans="1:11" ht="21" customHeight="1">
      <c r="A11" s="57" t="s">
        <v>80</v>
      </c>
      <c r="B11" s="58">
        <v>3</v>
      </c>
      <c r="C11" s="58">
        <v>20</v>
      </c>
      <c r="D11" s="58" t="s">
        <v>249</v>
      </c>
      <c r="E11" s="53" t="s">
        <v>319</v>
      </c>
      <c r="F11" s="53" t="s">
        <v>250</v>
      </c>
      <c r="G11" s="59" t="s">
        <v>320</v>
      </c>
      <c r="H11" s="54" t="s">
        <v>308</v>
      </c>
      <c r="I11" s="54" t="s">
        <v>251</v>
      </c>
      <c r="J11" s="60" t="s">
        <v>321</v>
      </c>
      <c r="K11" s="61" t="s">
        <v>322</v>
      </c>
    </row>
    <row r="12" spans="1:11" ht="21" customHeight="1">
      <c r="A12" s="57" t="s">
        <v>83</v>
      </c>
      <c r="B12" s="62">
        <v>1.8</v>
      </c>
      <c r="C12" s="62">
        <v>200</v>
      </c>
      <c r="D12" s="62" t="s">
        <v>85</v>
      </c>
      <c r="E12" s="53" t="s">
        <v>319</v>
      </c>
      <c r="F12" s="53" t="s">
        <v>253</v>
      </c>
      <c r="G12" s="59" t="s">
        <v>323</v>
      </c>
      <c r="H12" s="54" t="s">
        <v>308</v>
      </c>
      <c r="I12" s="54" t="s">
        <v>250</v>
      </c>
      <c r="J12" s="60" t="s">
        <v>324</v>
      </c>
      <c r="K12" s="63" t="s">
        <v>325</v>
      </c>
    </row>
    <row r="13" spans="1:11" ht="21" customHeight="1">
      <c r="A13" s="57" t="s">
        <v>87</v>
      </c>
      <c r="B13" s="61">
        <v>4.5</v>
      </c>
      <c r="C13" s="61">
        <v>400</v>
      </c>
      <c r="D13" s="58" t="s">
        <v>89</v>
      </c>
      <c r="E13" s="53" t="s">
        <v>319</v>
      </c>
      <c r="F13" s="53" t="s">
        <v>255</v>
      </c>
      <c r="G13" s="59" t="s">
        <v>326</v>
      </c>
      <c r="H13" s="54" t="s">
        <v>308</v>
      </c>
      <c r="I13" s="54" t="s">
        <v>256</v>
      </c>
      <c r="J13" s="60" t="s">
        <v>327</v>
      </c>
      <c r="K13" s="61" t="s">
        <v>328</v>
      </c>
    </row>
    <row r="14" spans="1:11" ht="21" customHeight="1">
      <c r="A14" s="57" t="s">
        <v>91</v>
      </c>
      <c r="B14" s="63">
        <v>15</v>
      </c>
      <c r="C14" s="63">
        <v>600</v>
      </c>
      <c r="D14" s="62" t="s">
        <v>93</v>
      </c>
      <c r="E14" s="53" t="s">
        <v>319</v>
      </c>
      <c r="F14" s="53" t="s">
        <v>258</v>
      </c>
      <c r="G14" s="64" t="s">
        <v>329</v>
      </c>
      <c r="H14" s="54" t="s">
        <v>308</v>
      </c>
      <c r="I14" s="54" t="s">
        <v>259</v>
      </c>
      <c r="J14" s="65" t="s">
        <v>330</v>
      </c>
      <c r="K14" s="63" t="s">
        <v>331</v>
      </c>
    </row>
    <row r="15" spans="1:11" ht="21" customHeight="1">
      <c r="A15" s="57" t="s">
        <v>95</v>
      </c>
      <c r="B15" s="61">
        <v>45</v>
      </c>
      <c r="C15" s="61">
        <v>1000</v>
      </c>
      <c r="D15" s="58" t="s">
        <v>97</v>
      </c>
      <c r="E15" s="53" t="s">
        <v>319</v>
      </c>
      <c r="F15" s="53" t="s">
        <v>261</v>
      </c>
      <c r="G15" s="64" t="s">
        <v>332</v>
      </c>
      <c r="H15" s="54" t="s">
        <v>308</v>
      </c>
      <c r="I15" s="54" t="s">
        <v>262</v>
      </c>
      <c r="J15" s="65" t="s">
        <v>333</v>
      </c>
      <c r="K15" s="61" t="s">
        <v>334</v>
      </c>
    </row>
    <row r="16" spans="1:11" ht="21" customHeight="1">
      <c r="A16" s="57" t="s">
        <v>99</v>
      </c>
      <c r="B16" s="63">
        <v>112.5</v>
      </c>
      <c r="C16" s="63">
        <v>2000</v>
      </c>
      <c r="D16" s="62" t="s">
        <v>264</v>
      </c>
      <c r="E16" s="53" t="s">
        <v>319</v>
      </c>
      <c r="F16" s="53" t="s">
        <v>265</v>
      </c>
      <c r="G16" s="64" t="s">
        <v>335</v>
      </c>
      <c r="H16" s="54" t="s">
        <v>308</v>
      </c>
      <c r="I16" s="54" t="s">
        <v>253</v>
      </c>
      <c r="J16" s="65" t="s">
        <v>336</v>
      </c>
      <c r="K16" s="63" t="s">
        <v>337</v>
      </c>
    </row>
    <row r="17" spans="1:11" ht="21" customHeight="1">
      <c r="A17" s="57" t="s">
        <v>103</v>
      </c>
      <c r="B17" s="61">
        <v>281.25</v>
      </c>
      <c r="C17" s="61">
        <v>4000</v>
      </c>
      <c r="D17" s="58" t="s">
        <v>267</v>
      </c>
      <c r="E17" s="53" t="s">
        <v>319</v>
      </c>
      <c r="F17" s="53" t="s">
        <v>268</v>
      </c>
      <c r="G17" s="64" t="s">
        <v>338</v>
      </c>
      <c r="H17" s="54" t="s">
        <v>308</v>
      </c>
      <c r="I17" s="54" t="s">
        <v>255</v>
      </c>
      <c r="J17" s="65" t="s">
        <v>339</v>
      </c>
      <c r="K17" s="61" t="s">
        <v>340</v>
      </c>
    </row>
    <row r="19" spans="1:11" ht="21.75" customHeight="1">
      <c r="A19" s="202" t="s">
        <v>341</v>
      </c>
      <c r="B19" s="158"/>
      <c r="C19" s="158"/>
      <c r="D19" s="158"/>
      <c r="E19" s="158"/>
      <c r="F19" s="158"/>
      <c r="G19" s="158"/>
      <c r="H19" s="158"/>
      <c r="I19" s="158"/>
      <c r="J19" s="158"/>
      <c r="K19" s="158"/>
    </row>
    <row r="20" spans="1:11" ht="27.75" customHeight="1">
      <c r="A20" s="196" t="s">
        <v>71</v>
      </c>
      <c r="B20" s="196" t="s">
        <v>311</v>
      </c>
      <c r="C20" s="196" t="s">
        <v>312</v>
      </c>
      <c r="D20" s="191"/>
      <c r="E20" s="196" t="s">
        <v>313</v>
      </c>
      <c r="F20" s="142"/>
      <c r="G20" s="191"/>
      <c r="H20" s="196" t="s">
        <v>314</v>
      </c>
      <c r="I20" s="142"/>
      <c r="J20" s="191"/>
      <c r="K20" s="196" t="s">
        <v>129</v>
      </c>
    </row>
    <row r="21" spans="1:11" ht="27.75" customHeight="1">
      <c r="A21" s="198"/>
      <c r="B21" s="198"/>
      <c r="C21" s="66" t="s">
        <v>315</v>
      </c>
      <c r="D21" s="66" t="s">
        <v>316</v>
      </c>
      <c r="E21" s="66" t="s">
        <v>308</v>
      </c>
      <c r="F21" s="66" t="s">
        <v>317</v>
      </c>
      <c r="G21" s="66" t="s">
        <v>318</v>
      </c>
      <c r="H21" s="66" t="s">
        <v>309</v>
      </c>
      <c r="I21" s="66" t="s">
        <v>317</v>
      </c>
      <c r="J21" s="66" t="s">
        <v>318</v>
      </c>
      <c r="K21" s="198"/>
    </row>
    <row r="22" spans="1:11" ht="21" customHeight="1">
      <c r="A22" s="67" t="s">
        <v>80</v>
      </c>
      <c r="B22" s="61">
        <v>3</v>
      </c>
      <c r="C22" s="61">
        <v>10</v>
      </c>
      <c r="D22" s="58" t="s">
        <v>342</v>
      </c>
      <c r="E22" s="53" t="s">
        <v>319</v>
      </c>
      <c r="F22" s="53" t="s">
        <v>343</v>
      </c>
      <c r="G22" s="59" t="s">
        <v>344</v>
      </c>
      <c r="H22" s="54" t="s">
        <v>308</v>
      </c>
      <c r="I22" s="54" t="s">
        <v>345</v>
      </c>
      <c r="J22" s="60" t="s">
        <v>346</v>
      </c>
      <c r="K22" s="61" t="s">
        <v>322</v>
      </c>
    </row>
    <row r="23" spans="1:11" ht="21" customHeight="1">
      <c r="A23" s="67" t="s">
        <v>83</v>
      </c>
      <c r="B23" s="63">
        <v>1.8</v>
      </c>
      <c r="C23" s="63">
        <v>100</v>
      </c>
      <c r="D23" s="62" t="s">
        <v>347</v>
      </c>
      <c r="E23" s="53" t="s">
        <v>319</v>
      </c>
      <c r="F23" s="53" t="s">
        <v>262</v>
      </c>
      <c r="G23" s="59" t="s">
        <v>348</v>
      </c>
      <c r="H23" s="54" t="s">
        <v>308</v>
      </c>
      <c r="I23" s="54" t="s">
        <v>343</v>
      </c>
      <c r="J23" s="60" t="s">
        <v>349</v>
      </c>
      <c r="K23" s="63" t="s">
        <v>325</v>
      </c>
    </row>
    <row r="24" spans="1:11" ht="21" customHeight="1">
      <c r="A24" s="67" t="s">
        <v>87</v>
      </c>
      <c r="B24" s="61">
        <v>4.5</v>
      </c>
      <c r="C24" s="61">
        <v>200</v>
      </c>
      <c r="D24" s="58" t="s">
        <v>350</v>
      </c>
      <c r="E24" s="53" t="s">
        <v>319</v>
      </c>
      <c r="F24" s="53" t="s">
        <v>253</v>
      </c>
      <c r="G24" s="59" t="s">
        <v>351</v>
      </c>
      <c r="H24" s="54" t="s">
        <v>308</v>
      </c>
      <c r="I24" s="54" t="s">
        <v>250</v>
      </c>
      <c r="J24" s="60" t="s">
        <v>352</v>
      </c>
      <c r="K24" s="61" t="s">
        <v>328</v>
      </c>
    </row>
    <row r="25" spans="1:11" ht="21" customHeight="1">
      <c r="A25" s="67" t="s">
        <v>91</v>
      </c>
      <c r="B25" s="63">
        <v>15</v>
      </c>
      <c r="C25" s="63">
        <v>300</v>
      </c>
      <c r="D25" s="62" t="s">
        <v>353</v>
      </c>
      <c r="E25" s="53" t="s">
        <v>319</v>
      </c>
      <c r="F25" s="53" t="s">
        <v>286</v>
      </c>
      <c r="G25" s="64" t="s">
        <v>354</v>
      </c>
      <c r="H25" s="54" t="s">
        <v>308</v>
      </c>
      <c r="I25" s="54" t="s">
        <v>355</v>
      </c>
      <c r="J25" s="65" t="s">
        <v>356</v>
      </c>
      <c r="K25" s="63" t="s">
        <v>331</v>
      </c>
    </row>
    <row r="26" spans="1:11" ht="21" customHeight="1">
      <c r="A26" s="67" t="s">
        <v>95</v>
      </c>
      <c r="B26" s="61">
        <v>45</v>
      </c>
      <c r="C26" s="61">
        <v>500</v>
      </c>
      <c r="D26" s="58" t="s">
        <v>357</v>
      </c>
      <c r="E26" s="53" t="s">
        <v>319</v>
      </c>
      <c r="F26" s="53" t="s">
        <v>358</v>
      </c>
      <c r="G26" s="64" t="s">
        <v>359</v>
      </c>
      <c r="H26" s="54" t="s">
        <v>308</v>
      </c>
      <c r="I26" s="54" t="s">
        <v>360</v>
      </c>
      <c r="J26" s="65" t="s">
        <v>361</v>
      </c>
      <c r="K26" s="61" t="s">
        <v>334</v>
      </c>
    </row>
    <row r="27" spans="1:11" ht="21" customHeight="1">
      <c r="A27" s="67" t="s">
        <v>99</v>
      </c>
      <c r="B27" s="63">
        <v>112.5</v>
      </c>
      <c r="C27" s="63">
        <v>1000</v>
      </c>
      <c r="D27" s="62" t="s">
        <v>362</v>
      </c>
      <c r="E27" s="53" t="s">
        <v>319</v>
      </c>
      <c r="F27" s="53" t="s">
        <v>261</v>
      </c>
      <c r="G27" s="64" t="s">
        <v>363</v>
      </c>
      <c r="H27" s="54" t="s">
        <v>308</v>
      </c>
      <c r="I27" s="54" t="s">
        <v>262</v>
      </c>
      <c r="J27" s="65" t="s">
        <v>364</v>
      </c>
      <c r="K27" s="63" t="s">
        <v>337</v>
      </c>
    </row>
    <row r="28" spans="1:11" ht="21" customHeight="1">
      <c r="A28" s="67" t="s">
        <v>103</v>
      </c>
      <c r="B28" s="61">
        <v>281.25</v>
      </c>
      <c r="C28" s="61">
        <v>2000</v>
      </c>
      <c r="D28" s="58" t="s">
        <v>365</v>
      </c>
      <c r="E28" s="53" t="s">
        <v>319</v>
      </c>
      <c r="F28" s="53" t="s">
        <v>265</v>
      </c>
      <c r="G28" s="64" t="s">
        <v>366</v>
      </c>
      <c r="H28" s="54" t="s">
        <v>308</v>
      </c>
      <c r="I28" s="54" t="s">
        <v>253</v>
      </c>
      <c r="J28" s="65" t="s">
        <v>366</v>
      </c>
      <c r="K28" s="61" t="s">
        <v>340</v>
      </c>
    </row>
    <row r="30" spans="1:11" ht="21.75" customHeight="1">
      <c r="A30" s="192" t="s">
        <v>367</v>
      </c>
      <c r="B30" s="142"/>
      <c r="C30" s="142"/>
      <c r="D30" s="142"/>
      <c r="E30" s="142"/>
      <c r="F30" s="142"/>
      <c r="G30" s="142"/>
      <c r="H30" s="142"/>
      <c r="I30" s="142"/>
      <c r="J30" s="142"/>
      <c r="K30" s="191"/>
    </row>
    <row r="31" spans="1:11" ht="18" customHeight="1">
      <c r="A31" s="200" t="s">
        <v>368</v>
      </c>
      <c r="B31" s="142"/>
      <c r="C31" s="142"/>
      <c r="D31" s="142"/>
      <c r="E31" s="142"/>
      <c r="F31" s="142"/>
      <c r="G31" s="142"/>
      <c r="H31" s="142"/>
      <c r="I31" s="142"/>
      <c r="J31" s="142"/>
      <c r="K31" s="191"/>
    </row>
    <row r="32" spans="1:11" ht="18" customHeight="1">
      <c r="A32" s="190" t="s">
        <v>369</v>
      </c>
      <c r="B32" s="142"/>
      <c r="C32" s="142"/>
      <c r="D32" s="142"/>
      <c r="E32" s="191"/>
      <c r="F32" s="190" t="s">
        <v>370</v>
      </c>
      <c r="G32" s="142"/>
      <c r="H32" s="142"/>
      <c r="I32" s="142"/>
      <c r="J32" s="142"/>
      <c r="K32" s="191"/>
    </row>
    <row r="33" spans="1:11" ht="18" customHeight="1">
      <c r="A33" s="200" t="s">
        <v>371</v>
      </c>
      <c r="B33" s="142"/>
      <c r="C33" s="142"/>
      <c r="D33" s="142"/>
      <c r="E33" s="142"/>
      <c r="F33" s="142"/>
      <c r="G33" s="142"/>
      <c r="H33" s="142"/>
      <c r="I33" s="142"/>
      <c r="J33" s="142"/>
      <c r="K33" s="191"/>
    </row>
    <row r="34" spans="1:11" ht="18" customHeight="1">
      <c r="A34" s="190" t="s">
        <v>372</v>
      </c>
      <c r="B34" s="142"/>
      <c r="C34" s="142"/>
      <c r="D34" s="142"/>
      <c r="E34" s="191"/>
      <c r="F34" s="190" t="s">
        <v>373</v>
      </c>
      <c r="G34" s="142"/>
      <c r="H34" s="142"/>
      <c r="I34" s="142"/>
      <c r="J34" s="142"/>
      <c r="K34" s="191"/>
    </row>
    <row r="35" spans="1:11" ht="18" customHeight="1">
      <c r="A35" s="200" t="s">
        <v>374</v>
      </c>
      <c r="B35" s="142"/>
      <c r="C35" s="142"/>
      <c r="D35" s="142"/>
      <c r="E35" s="142"/>
      <c r="F35" s="142"/>
      <c r="G35" s="142"/>
      <c r="H35" s="142"/>
      <c r="I35" s="142"/>
      <c r="J35" s="142"/>
      <c r="K35" s="191"/>
    </row>
    <row r="36" spans="1:11" ht="18" customHeight="1">
      <c r="A36" s="193" t="s">
        <v>375</v>
      </c>
      <c r="B36" s="142"/>
      <c r="C36" s="142"/>
      <c r="D36" s="142"/>
      <c r="E36" s="191"/>
      <c r="F36" s="193" t="s">
        <v>376</v>
      </c>
      <c r="G36" s="142"/>
      <c r="H36" s="142"/>
      <c r="I36" s="142"/>
      <c r="J36" s="142"/>
      <c r="K36" s="191"/>
    </row>
    <row r="37" spans="1:11">
      <c r="A37" s="68"/>
      <c r="B37" s="68"/>
      <c r="C37" s="68"/>
      <c r="D37" s="68"/>
      <c r="E37" s="68"/>
      <c r="F37" s="68"/>
      <c r="G37" s="68"/>
      <c r="H37" s="68"/>
      <c r="I37" s="68"/>
      <c r="J37" s="68"/>
      <c r="K37" s="68"/>
    </row>
  </sheetData>
  <mergeCells count="27">
    <mergeCell ref="A1:K1"/>
    <mergeCell ref="C20:D20"/>
    <mergeCell ref="C9:D9"/>
    <mergeCell ref="A4:C4"/>
    <mergeCell ref="B9:B10"/>
    <mergeCell ref="A2:K2"/>
    <mergeCell ref="A20:A21"/>
    <mergeCell ref="B20:B21"/>
    <mergeCell ref="E20:G20"/>
    <mergeCell ref="A8:K8"/>
    <mergeCell ref="H20:J20"/>
    <mergeCell ref="K9:K10"/>
    <mergeCell ref="A9:A10"/>
    <mergeCell ref="A19:K19"/>
    <mergeCell ref="H9:J9"/>
    <mergeCell ref="K20:K21"/>
    <mergeCell ref="A34:E34"/>
    <mergeCell ref="A30:K30"/>
    <mergeCell ref="F36:K36"/>
    <mergeCell ref="F32:K32"/>
    <mergeCell ref="E9:G9"/>
    <mergeCell ref="A36:E36"/>
    <mergeCell ref="A33:K33"/>
    <mergeCell ref="A32:E32"/>
    <mergeCell ref="A35:K35"/>
    <mergeCell ref="F34:K34"/>
    <mergeCell ref="A31:K31"/>
  </mergeCells>
  <phoneticPr fontId="7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0"/>
  <sheetViews>
    <sheetView zoomScaleNormal="100" workbookViewId="0">
      <selection sqref="A1:I1"/>
    </sheetView>
  </sheetViews>
  <sheetFormatPr defaultColWidth="8.7109375" defaultRowHeight="15"/>
  <cols>
    <col min="1" max="1" width="60" style="129" customWidth="1"/>
    <col min="2" max="2" width="18" style="129" customWidth="1"/>
    <col min="3" max="3" width="20" style="129" customWidth="1"/>
    <col min="4" max="4" width="22" style="129" customWidth="1"/>
    <col min="5" max="8" width="13" style="129" customWidth="1"/>
    <col min="9" max="9" width="26" style="129" customWidth="1"/>
  </cols>
  <sheetData>
    <row r="1" spans="1:9" ht="30" customHeight="1">
      <c r="A1" s="203" t="s">
        <v>377</v>
      </c>
      <c r="B1" s="158"/>
      <c r="C1" s="158"/>
      <c r="D1" s="158"/>
      <c r="E1" s="158"/>
      <c r="F1" s="158"/>
      <c r="G1" s="158"/>
      <c r="H1" s="158"/>
      <c r="I1" s="158"/>
    </row>
    <row r="2" spans="1:9" ht="13.5" customHeight="1">
      <c r="A2" s="205" t="s">
        <v>378</v>
      </c>
      <c r="B2" s="158"/>
      <c r="C2" s="158"/>
      <c r="D2" s="158"/>
      <c r="E2" s="158"/>
      <c r="F2" s="158"/>
      <c r="G2" s="158"/>
      <c r="H2" s="158"/>
      <c r="I2" s="158"/>
    </row>
    <row r="3" spans="1:9" ht="31.5" customHeight="1">
      <c r="A3" s="69" t="s">
        <v>71</v>
      </c>
      <c r="B3" s="69" t="s">
        <v>311</v>
      </c>
      <c r="C3" s="69" t="s">
        <v>379</v>
      </c>
      <c r="D3" s="69" t="s">
        <v>380</v>
      </c>
      <c r="E3" s="69" t="s">
        <v>381</v>
      </c>
      <c r="F3" s="69" t="s">
        <v>382</v>
      </c>
      <c r="G3" s="69" t="s">
        <v>383</v>
      </c>
      <c r="H3" s="69" t="s">
        <v>384</v>
      </c>
      <c r="I3" s="69" t="s">
        <v>129</v>
      </c>
    </row>
    <row r="4" spans="1:9" ht="19.5" customHeight="1">
      <c r="A4" s="70" t="s">
        <v>80</v>
      </c>
      <c r="B4" s="70">
        <v>3</v>
      </c>
      <c r="C4" s="70" t="s">
        <v>249</v>
      </c>
      <c r="D4" s="70" t="s">
        <v>342</v>
      </c>
      <c r="E4" s="71">
        <v>20</v>
      </c>
      <c r="F4" s="71">
        <v>10</v>
      </c>
      <c r="G4" s="71">
        <v>2</v>
      </c>
      <c r="H4" s="71">
        <v>1</v>
      </c>
      <c r="I4" s="72" t="s">
        <v>385</v>
      </c>
    </row>
    <row r="5" spans="1:9" ht="19.5" customHeight="1">
      <c r="A5" s="73" t="s">
        <v>83</v>
      </c>
      <c r="B5" s="73">
        <v>1.8</v>
      </c>
      <c r="C5" s="73" t="s">
        <v>85</v>
      </c>
      <c r="D5" s="73" t="s">
        <v>347</v>
      </c>
      <c r="E5" s="71">
        <v>200</v>
      </c>
      <c r="F5" s="71">
        <v>100</v>
      </c>
      <c r="G5" s="71">
        <v>20</v>
      </c>
      <c r="H5" s="71">
        <v>10</v>
      </c>
      <c r="I5" s="74" t="s">
        <v>325</v>
      </c>
    </row>
    <row r="6" spans="1:9" ht="19.5" customHeight="1">
      <c r="A6" s="70" t="s">
        <v>87</v>
      </c>
      <c r="B6" s="70">
        <v>4.5</v>
      </c>
      <c r="C6" s="70" t="s">
        <v>89</v>
      </c>
      <c r="D6" s="70" t="s">
        <v>350</v>
      </c>
      <c r="E6" s="71">
        <v>400</v>
      </c>
      <c r="F6" s="71">
        <v>200</v>
      </c>
      <c r="G6" s="71">
        <v>40</v>
      </c>
      <c r="H6" s="71">
        <v>20</v>
      </c>
      <c r="I6" s="72" t="s">
        <v>328</v>
      </c>
    </row>
    <row r="7" spans="1:9" ht="19.5" customHeight="1">
      <c r="A7" s="73" t="s">
        <v>91</v>
      </c>
      <c r="B7" s="73">
        <v>15</v>
      </c>
      <c r="C7" s="73" t="s">
        <v>93</v>
      </c>
      <c r="D7" s="73" t="s">
        <v>353</v>
      </c>
      <c r="E7" s="71">
        <v>600</v>
      </c>
      <c r="F7" s="71">
        <v>300</v>
      </c>
      <c r="G7" s="71">
        <v>60</v>
      </c>
      <c r="H7" s="71">
        <v>30</v>
      </c>
      <c r="I7" s="74" t="s">
        <v>331</v>
      </c>
    </row>
    <row r="8" spans="1:9" ht="19.5" customHeight="1">
      <c r="A8" s="70" t="s">
        <v>95</v>
      </c>
      <c r="B8" s="70">
        <v>45</v>
      </c>
      <c r="C8" s="70" t="s">
        <v>97</v>
      </c>
      <c r="D8" s="70" t="s">
        <v>357</v>
      </c>
      <c r="E8" s="71">
        <v>1000</v>
      </c>
      <c r="F8" s="71">
        <v>500</v>
      </c>
      <c r="G8" s="71">
        <v>100</v>
      </c>
      <c r="H8" s="71">
        <v>50</v>
      </c>
      <c r="I8" s="72" t="s">
        <v>334</v>
      </c>
    </row>
    <row r="9" spans="1:9" ht="19.5" customHeight="1">
      <c r="A9" s="73" t="s">
        <v>99</v>
      </c>
      <c r="B9" s="73">
        <v>112.5</v>
      </c>
      <c r="C9" s="73" t="s">
        <v>264</v>
      </c>
      <c r="D9" s="73" t="s">
        <v>362</v>
      </c>
      <c r="E9" s="71">
        <v>2000</v>
      </c>
      <c r="F9" s="71">
        <v>1000</v>
      </c>
      <c r="G9" s="71">
        <v>200</v>
      </c>
      <c r="H9" s="71">
        <v>100</v>
      </c>
      <c r="I9" s="74" t="s">
        <v>337</v>
      </c>
    </row>
    <row r="10" spans="1:9" ht="19.5" customHeight="1">
      <c r="A10" s="70" t="s">
        <v>103</v>
      </c>
      <c r="B10" s="70">
        <v>281.25</v>
      </c>
      <c r="C10" s="70" t="s">
        <v>267</v>
      </c>
      <c r="D10" s="70" t="s">
        <v>365</v>
      </c>
      <c r="E10" s="71">
        <v>4000</v>
      </c>
      <c r="F10" s="71">
        <v>2000</v>
      </c>
      <c r="G10" s="71">
        <v>400</v>
      </c>
      <c r="H10" s="71">
        <v>200</v>
      </c>
      <c r="I10" s="72" t="s">
        <v>340</v>
      </c>
    </row>
    <row r="12" spans="1:9" ht="15" customHeight="1">
      <c r="A12" s="204" t="s">
        <v>386</v>
      </c>
      <c r="B12" s="158"/>
      <c r="C12" s="158"/>
      <c r="D12" s="158"/>
      <c r="E12" s="158"/>
      <c r="F12" s="158"/>
      <c r="G12" s="158"/>
      <c r="H12" s="158"/>
      <c r="I12" s="158"/>
    </row>
    <row r="13" spans="1:9" ht="31.5" customHeight="1">
      <c r="A13" s="69" t="s">
        <v>71</v>
      </c>
      <c r="B13" s="69" t="s">
        <v>387</v>
      </c>
      <c r="C13" s="69" t="s">
        <v>383</v>
      </c>
      <c r="D13" s="69" t="s">
        <v>388</v>
      </c>
      <c r="E13" s="69" t="s">
        <v>389</v>
      </c>
      <c r="F13" s="69" t="s">
        <v>384</v>
      </c>
      <c r="G13" s="69" t="s">
        <v>390</v>
      </c>
      <c r="H13" s="69" t="s">
        <v>391</v>
      </c>
      <c r="I13" s="69"/>
    </row>
    <row r="14" spans="1:9" ht="19.5" customHeight="1">
      <c r="A14" s="70" t="s">
        <v>80</v>
      </c>
      <c r="B14" s="70">
        <v>3</v>
      </c>
      <c r="C14" s="71">
        <v>2</v>
      </c>
      <c r="D14" s="75" t="s">
        <v>392</v>
      </c>
      <c r="E14" s="70">
        <v>6</v>
      </c>
      <c r="F14" s="71">
        <v>1</v>
      </c>
      <c r="G14" s="75" t="s">
        <v>393</v>
      </c>
      <c r="H14" s="70" t="s">
        <v>394</v>
      </c>
      <c r="I14" s="70"/>
    </row>
    <row r="15" spans="1:9" ht="19.5" customHeight="1">
      <c r="A15" s="70" t="s">
        <v>83</v>
      </c>
      <c r="B15" s="70">
        <v>12</v>
      </c>
      <c r="C15" s="71">
        <v>20</v>
      </c>
      <c r="D15" s="76" t="s">
        <v>395</v>
      </c>
      <c r="E15" s="70">
        <v>24</v>
      </c>
      <c r="F15" s="71">
        <v>10</v>
      </c>
      <c r="G15" s="76" t="s">
        <v>396</v>
      </c>
      <c r="H15" s="72" t="s">
        <v>397</v>
      </c>
      <c r="I15" s="70"/>
    </row>
    <row r="16" spans="1:9" ht="19.5" customHeight="1">
      <c r="A16" s="70" t="s">
        <v>87</v>
      </c>
      <c r="B16" s="70">
        <v>36</v>
      </c>
      <c r="C16" s="71">
        <v>40</v>
      </c>
      <c r="D16" s="76" t="s">
        <v>398</v>
      </c>
      <c r="E16" s="70">
        <v>72</v>
      </c>
      <c r="F16" s="71">
        <v>20</v>
      </c>
      <c r="G16" s="76" t="s">
        <v>399</v>
      </c>
      <c r="H16" s="72" t="s">
        <v>397</v>
      </c>
      <c r="I16" s="70"/>
    </row>
    <row r="17" spans="1:9" ht="19.5" customHeight="1">
      <c r="A17" s="70" t="s">
        <v>91</v>
      </c>
      <c r="B17" s="70">
        <v>180</v>
      </c>
      <c r="C17" s="71">
        <v>60</v>
      </c>
      <c r="D17" s="76" t="s">
        <v>400</v>
      </c>
      <c r="E17" s="70">
        <v>360</v>
      </c>
      <c r="F17" s="71">
        <v>30</v>
      </c>
      <c r="G17" s="76" t="s">
        <v>401</v>
      </c>
      <c r="H17" s="72" t="s">
        <v>402</v>
      </c>
      <c r="I17" s="70"/>
    </row>
    <row r="18" spans="1:9" ht="19.5" customHeight="1">
      <c r="A18" s="70" t="s">
        <v>95</v>
      </c>
      <c r="B18" s="70">
        <v>900</v>
      </c>
      <c r="C18" s="71">
        <v>100</v>
      </c>
      <c r="D18" s="76" t="s">
        <v>403</v>
      </c>
      <c r="E18" s="70">
        <v>1800</v>
      </c>
      <c r="F18" s="71">
        <v>50</v>
      </c>
      <c r="G18" s="76" t="s">
        <v>404</v>
      </c>
      <c r="H18" s="72" t="s">
        <v>402</v>
      </c>
      <c r="I18" s="70"/>
    </row>
    <row r="19" spans="1:9" ht="19.5" customHeight="1">
      <c r="A19" s="70" t="s">
        <v>99</v>
      </c>
      <c r="B19" s="70">
        <v>4500</v>
      </c>
      <c r="C19" s="71">
        <v>200</v>
      </c>
      <c r="D19" s="76" t="s">
        <v>405</v>
      </c>
      <c r="E19" s="70">
        <v>9000</v>
      </c>
      <c r="F19" s="71">
        <v>100</v>
      </c>
      <c r="G19" s="76" t="s">
        <v>406</v>
      </c>
      <c r="H19" s="72" t="s">
        <v>402</v>
      </c>
      <c r="I19" s="70"/>
    </row>
    <row r="20" spans="1:9" ht="19.5" customHeight="1">
      <c r="A20" s="70" t="s">
        <v>103</v>
      </c>
      <c r="B20" s="70">
        <v>22500</v>
      </c>
      <c r="C20" s="71">
        <v>400</v>
      </c>
      <c r="D20" s="76" t="s">
        <v>407</v>
      </c>
      <c r="E20" s="70">
        <v>45000</v>
      </c>
      <c r="F20" s="71">
        <v>200</v>
      </c>
      <c r="G20" s="76" t="s">
        <v>408</v>
      </c>
      <c r="H20" s="72" t="s">
        <v>402</v>
      </c>
      <c r="I20" s="70"/>
    </row>
  </sheetData>
  <mergeCells count="3">
    <mergeCell ref="A1:I1"/>
    <mergeCell ref="A12:I12"/>
    <mergeCell ref="A2:I2"/>
  </mergeCells>
  <phoneticPr fontId="7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8"/>
  <sheetViews>
    <sheetView showGridLines="0" topLeftCell="A3" zoomScaleNormal="100" workbookViewId="0">
      <selection activeCell="B14" sqref="B14"/>
    </sheetView>
  </sheetViews>
  <sheetFormatPr defaultColWidth="8.7109375" defaultRowHeight="15"/>
  <cols>
    <col min="1" max="1" width="60" style="129" customWidth="1"/>
    <col min="2" max="2" width="16" style="129" customWidth="1"/>
    <col min="3" max="4" width="10" style="129" customWidth="1"/>
    <col min="5" max="5" width="28" style="129" customWidth="1"/>
    <col min="6" max="6" width="16.5703125" style="129" customWidth="1"/>
    <col min="7" max="7" width="47.85546875" style="129" customWidth="1"/>
    <col min="8" max="8" width="28.42578125" style="129" customWidth="1"/>
    <col min="9" max="9" width="18.42578125" style="129" customWidth="1"/>
  </cols>
  <sheetData>
    <row r="1" spans="1:9" ht="36" customHeight="1">
      <c r="A1" s="207" t="s">
        <v>409</v>
      </c>
      <c r="B1" s="158"/>
      <c r="C1" s="158"/>
      <c r="D1" s="158"/>
      <c r="E1" s="158"/>
      <c r="F1" s="158"/>
      <c r="G1" s="137" t="s">
        <v>410</v>
      </c>
      <c r="I1" s="138" t="s">
        <v>41</v>
      </c>
    </row>
    <row r="2" spans="1:9" ht="18" customHeight="1">
      <c r="A2" s="206" t="s">
        <v>411</v>
      </c>
      <c r="B2" s="158"/>
      <c r="C2" s="158"/>
      <c r="D2" s="158"/>
      <c r="E2" s="158"/>
      <c r="F2" s="158"/>
    </row>
    <row r="3" spans="1:9" ht="42" customHeight="1">
      <c r="A3" s="139" t="s">
        <v>412</v>
      </c>
      <c r="B3" s="139" t="s">
        <v>413</v>
      </c>
      <c r="E3" s="139" t="s">
        <v>414</v>
      </c>
      <c r="F3" s="139" t="s">
        <v>415</v>
      </c>
      <c r="G3" s="139" t="s">
        <v>416</v>
      </c>
      <c r="H3" s="139" t="s">
        <v>417</v>
      </c>
    </row>
    <row r="4" spans="1:9" ht="30" customHeight="1">
      <c r="A4" s="77" t="s">
        <v>418</v>
      </c>
      <c r="B4" s="78" t="s">
        <v>419</v>
      </c>
      <c r="E4" s="131" t="s">
        <v>420</v>
      </c>
      <c r="F4" s="79" t="s">
        <v>420</v>
      </c>
      <c r="G4" s="80" t="s">
        <v>421</v>
      </c>
      <c r="H4" s="81" t="s">
        <v>422</v>
      </c>
    </row>
    <row r="5" spans="1:9" ht="30" customHeight="1">
      <c r="A5" s="82" t="s">
        <v>423</v>
      </c>
      <c r="B5" s="83" t="s">
        <v>424</v>
      </c>
      <c r="E5" s="131">
        <f>20*0.02</f>
        <v>0.4</v>
      </c>
      <c r="F5" s="79">
        <f>20*60*0.02</f>
        <v>24</v>
      </c>
      <c r="G5" s="84" t="s">
        <v>425</v>
      </c>
      <c r="H5" s="85" t="s">
        <v>426</v>
      </c>
    </row>
    <row r="6" spans="1:9" ht="30" customHeight="1">
      <c r="A6" s="86" t="s">
        <v>427</v>
      </c>
      <c r="B6" s="87" t="s">
        <v>428</v>
      </c>
      <c r="E6" s="88" t="s">
        <v>81</v>
      </c>
      <c r="F6" s="88" t="s">
        <v>81</v>
      </c>
      <c r="G6" s="89" t="s">
        <v>429</v>
      </c>
      <c r="H6" s="85" t="s">
        <v>430</v>
      </c>
    </row>
    <row r="7" spans="1:9" ht="30" customHeight="1">
      <c r="A7" s="90" t="s">
        <v>431</v>
      </c>
      <c r="B7" s="91" t="s">
        <v>432</v>
      </c>
      <c r="E7" s="92" t="s">
        <v>81</v>
      </c>
      <c r="F7" s="93" t="s">
        <v>433</v>
      </c>
      <c r="G7" s="94" t="s">
        <v>434</v>
      </c>
      <c r="H7" s="81" t="s">
        <v>435</v>
      </c>
    </row>
    <row r="10" spans="1:9" ht="24" customHeight="1">
      <c r="A10" s="123" t="s">
        <v>436</v>
      </c>
      <c r="B10" s="124"/>
      <c r="E10" s="124"/>
      <c r="F10" s="124"/>
      <c r="G10" s="124"/>
      <c r="H10" s="124"/>
    </row>
    <row r="11" spans="1:9" ht="25.5" customHeight="1">
      <c r="A11" s="125" t="s">
        <v>71</v>
      </c>
      <c r="B11" s="125" t="s">
        <v>437</v>
      </c>
      <c r="C11" s="134" t="s">
        <v>438</v>
      </c>
      <c r="D11" s="135" t="s">
        <v>439</v>
      </c>
      <c r="E11" s="125" t="s">
        <v>440</v>
      </c>
      <c r="F11" s="125" t="s">
        <v>415</v>
      </c>
      <c r="G11" s="125" t="s">
        <v>441</v>
      </c>
      <c r="H11" s="125" t="s">
        <v>442</v>
      </c>
    </row>
    <row r="12" spans="1:9" ht="19.5" customHeight="1">
      <c r="A12" s="126" t="s">
        <v>80</v>
      </c>
      <c r="B12" s="132" t="s">
        <v>81</v>
      </c>
      <c r="C12" s="136" t="s">
        <v>81</v>
      </c>
      <c r="D12" s="136" t="s">
        <v>81</v>
      </c>
      <c r="E12" s="127" t="s">
        <v>81</v>
      </c>
      <c r="F12" s="127" t="s">
        <v>81</v>
      </c>
      <c r="G12" s="127" t="s">
        <v>81</v>
      </c>
      <c r="H12" s="127" t="s">
        <v>81</v>
      </c>
    </row>
    <row r="13" spans="1:9" ht="19.5" customHeight="1">
      <c r="A13" s="126" t="s">
        <v>83</v>
      </c>
      <c r="B13" s="133" t="s">
        <v>443</v>
      </c>
      <c r="C13" s="136" t="s">
        <v>444</v>
      </c>
      <c r="D13" s="136" t="s">
        <v>444</v>
      </c>
      <c r="E13" s="128" t="s">
        <v>445</v>
      </c>
      <c r="F13" s="128" t="s">
        <v>446</v>
      </c>
      <c r="G13" s="128" t="s">
        <v>447</v>
      </c>
      <c r="H13" s="128" t="s">
        <v>84</v>
      </c>
    </row>
    <row r="14" spans="1:9" ht="19.5" customHeight="1">
      <c r="A14" s="126" t="s">
        <v>87</v>
      </c>
      <c r="B14" s="132" t="s">
        <v>448</v>
      </c>
      <c r="C14" s="136" t="s">
        <v>449</v>
      </c>
      <c r="D14" s="136" t="s">
        <v>449</v>
      </c>
      <c r="E14" s="127" t="s">
        <v>450</v>
      </c>
      <c r="F14" s="127" t="s">
        <v>451</v>
      </c>
      <c r="G14" s="127" t="s">
        <v>452</v>
      </c>
      <c r="H14" s="127" t="s">
        <v>88</v>
      </c>
    </row>
    <row r="15" spans="1:9" ht="19.5" customHeight="1">
      <c r="A15" s="126" t="s">
        <v>91</v>
      </c>
      <c r="B15" s="133" t="s">
        <v>453</v>
      </c>
      <c r="C15" s="136" t="s">
        <v>454</v>
      </c>
      <c r="D15" s="136" t="s">
        <v>454</v>
      </c>
      <c r="E15" s="128" t="s">
        <v>455</v>
      </c>
      <c r="F15" s="128" t="s">
        <v>456</v>
      </c>
      <c r="G15" s="128" t="s">
        <v>457</v>
      </c>
      <c r="H15" s="128" t="s">
        <v>92</v>
      </c>
    </row>
    <row r="16" spans="1:9" ht="19.5" customHeight="1">
      <c r="A16" s="126" t="s">
        <v>95</v>
      </c>
      <c r="B16" s="132" t="s">
        <v>458</v>
      </c>
      <c r="C16" s="136" t="s">
        <v>459</v>
      </c>
      <c r="D16" s="136" t="s">
        <v>459</v>
      </c>
      <c r="E16" s="127" t="s">
        <v>460</v>
      </c>
      <c r="F16" s="127" t="s">
        <v>461</v>
      </c>
      <c r="G16" s="127" t="s">
        <v>462</v>
      </c>
      <c r="H16" s="127" t="s">
        <v>96</v>
      </c>
    </row>
    <row r="17" spans="1:8">
      <c r="A17" s="126" t="s">
        <v>99</v>
      </c>
      <c r="B17" s="128" t="s">
        <v>463</v>
      </c>
      <c r="C17" s="136" t="s">
        <v>464</v>
      </c>
      <c r="D17" s="136" t="s">
        <v>464</v>
      </c>
      <c r="E17" s="128" t="s">
        <v>465</v>
      </c>
      <c r="F17" s="128" t="s">
        <v>466</v>
      </c>
      <c r="G17" s="128" t="s">
        <v>467</v>
      </c>
      <c r="H17" s="128" t="s">
        <v>100</v>
      </c>
    </row>
    <row r="18" spans="1:8">
      <c r="A18" s="126" t="s">
        <v>103</v>
      </c>
      <c r="B18" s="127" t="s">
        <v>468</v>
      </c>
      <c r="C18" s="136" t="s">
        <v>469</v>
      </c>
      <c r="D18" s="136" t="s">
        <v>469</v>
      </c>
      <c r="E18" s="127" t="s">
        <v>470</v>
      </c>
      <c r="F18" s="127" t="s">
        <v>471</v>
      </c>
      <c r="G18" s="127" t="s">
        <v>472</v>
      </c>
      <c r="H18" s="127" t="s">
        <v>104</v>
      </c>
    </row>
    <row r="20" spans="1:8">
      <c r="A20" s="123" t="s">
        <v>473</v>
      </c>
      <c r="B20" s="124"/>
      <c r="E20" s="124"/>
      <c r="F20" s="124"/>
      <c r="G20" s="124"/>
    </row>
    <row r="21" spans="1:8">
      <c r="A21" s="125" t="s">
        <v>474</v>
      </c>
      <c r="B21" s="125" t="s">
        <v>475</v>
      </c>
      <c r="E21" s="125" t="s">
        <v>476</v>
      </c>
      <c r="F21" s="125" t="s">
        <v>477</v>
      </c>
      <c r="G21" s="125" t="s">
        <v>478</v>
      </c>
    </row>
    <row r="22" spans="1:8">
      <c r="A22" s="126" t="s">
        <v>479</v>
      </c>
      <c r="B22" s="127" t="s">
        <v>480</v>
      </c>
      <c r="E22" s="127" t="s">
        <v>481</v>
      </c>
      <c r="F22" s="127" t="s">
        <v>482</v>
      </c>
      <c r="G22" s="127" t="s">
        <v>483</v>
      </c>
    </row>
    <row r="23" spans="1:8">
      <c r="A23" s="126" t="s">
        <v>484</v>
      </c>
      <c r="B23" s="128" t="s">
        <v>485</v>
      </c>
      <c r="E23" s="128" t="s">
        <v>486</v>
      </c>
      <c r="F23" s="128" t="s">
        <v>487</v>
      </c>
      <c r="G23" s="128" t="s">
        <v>483</v>
      </c>
    </row>
    <row r="24" spans="1:8">
      <c r="A24" s="126" t="s">
        <v>488</v>
      </c>
      <c r="B24" s="127" t="s">
        <v>489</v>
      </c>
      <c r="E24" s="127" t="s">
        <v>490</v>
      </c>
      <c r="F24" s="127" t="s">
        <v>491</v>
      </c>
      <c r="G24" s="127" t="s">
        <v>492</v>
      </c>
    </row>
    <row r="25" spans="1:8">
      <c r="A25" s="126" t="s">
        <v>493</v>
      </c>
      <c r="B25" s="128" t="s">
        <v>494</v>
      </c>
      <c r="E25" s="128" t="s">
        <v>495</v>
      </c>
      <c r="F25" s="128" t="s">
        <v>496</v>
      </c>
      <c r="G25" s="128" t="s">
        <v>497</v>
      </c>
    </row>
    <row r="26" spans="1:8">
      <c r="A26" s="126" t="s">
        <v>498</v>
      </c>
      <c r="B26" s="127" t="s">
        <v>499</v>
      </c>
      <c r="E26" s="127" t="s">
        <v>500</v>
      </c>
      <c r="F26" s="127" t="s">
        <v>501</v>
      </c>
      <c r="G26" s="127" t="s">
        <v>502</v>
      </c>
    </row>
    <row r="27" spans="1:8">
      <c r="A27" s="126" t="s">
        <v>503</v>
      </c>
      <c r="B27" s="128" t="s">
        <v>504</v>
      </c>
      <c r="E27" s="128" t="s">
        <v>505</v>
      </c>
      <c r="F27" s="128" t="s">
        <v>506</v>
      </c>
      <c r="G27" s="128" t="s">
        <v>507</v>
      </c>
    </row>
    <row r="28" spans="1:8">
      <c r="A28" s="126" t="s">
        <v>508</v>
      </c>
      <c r="B28" s="127" t="s">
        <v>509</v>
      </c>
      <c r="E28" s="127" t="s">
        <v>510</v>
      </c>
      <c r="F28" s="127" t="s">
        <v>511</v>
      </c>
      <c r="G28" s="127" t="s">
        <v>507</v>
      </c>
    </row>
  </sheetData>
  <mergeCells count="2">
    <mergeCell ref="A2:F2"/>
    <mergeCell ref="A1:F1"/>
  </mergeCells>
  <phoneticPr fontId="74" type="noConversion"/>
  <hyperlinks>
    <hyperlink ref="G1" r:id="rId1" location="🗺️%20제작%20방식%20개요!A1" xr:uid="{00000000-0004-0000-08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56"/>
  <sheetViews>
    <sheetView showGridLines="0" zoomScaleNormal="100" workbookViewId="0"/>
  </sheetViews>
  <sheetFormatPr defaultColWidth="8.7109375" defaultRowHeight="15"/>
  <cols>
    <col min="1" max="1" width="60" style="129" customWidth="1"/>
    <col min="2" max="2" width="22" style="129" customWidth="1"/>
    <col min="3" max="3" width="5.5703125" style="129" customWidth="1"/>
    <col min="4" max="9" width="13" style="129" customWidth="1"/>
    <col min="10" max="10" width="18" style="129" customWidth="1"/>
  </cols>
  <sheetData>
    <row r="1" spans="1:10" ht="36" customHeight="1">
      <c r="A1" s="208" t="s">
        <v>512</v>
      </c>
      <c r="B1" s="158"/>
      <c r="C1" s="158"/>
      <c r="D1" s="158"/>
      <c r="E1" s="158"/>
      <c r="F1" s="158"/>
      <c r="G1" s="158"/>
      <c r="H1" s="158"/>
      <c r="I1" s="158"/>
      <c r="J1" s="138" t="s">
        <v>41</v>
      </c>
    </row>
    <row r="2" spans="1:10" ht="18" customHeight="1">
      <c r="A2" s="206" t="s">
        <v>513</v>
      </c>
      <c r="B2" s="158"/>
      <c r="C2" s="158"/>
      <c r="D2" s="158"/>
      <c r="E2" s="158"/>
      <c r="F2" s="158"/>
      <c r="G2" s="158"/>
      <c r="H2" s="158"/>
      <c r="I2" s="158"/>
    </row>
    <row r="3" spans="1:10" ht="42" customHeight="1">
      <c r="A3" s="140" t="s">
        <v>514</v>
      </c>
      <c r="B3" s="139" t="s">
        <v>515</v>
      </c>
      <c r="C3" s="139" t="s">
        <v>71</v>
      </c>
      <c r="D3" s="139" t="s">
        <v>516</v>
      </c>
      <c r="E3" s="139" t="s">
        <v>517</v>
      </c>
      <c r="F3" s="139" t="s">
        <v>518</v>
      </c>
      <c r="G3" s="139" t="s">
        <v>519</v>
      </c>
      <c r="H3" s="139" t="s">
        <v>520</v>
      </c>
      <c r="I3" s="139" t="s">
        <v>521</v>
      </c>
    </row>
    <row r="4" spans="1:10" ht="19.5" customHeight="1">
      <c r="A4" s="95" t="s">
        <v>522</v>
      </c>
      <c r="B4" s="96" t="s">
        <v>523</v>
      </c>
      <c r="C4" s="24" t="s">
        <v>80</v>
      </c>
      <c r="D4" s="97" t="s">
        <v>524</v>
      </c>
      <c r="E4" s="98" t="s">
        <v>525</v>
      </c>
      <c r="F4" s="97" t="s">
        <v>81</v>
      </c>
      <c r="G4" s="98" t="s">
        <v>81</v>
      </c>
      <c r="H4" s="97" t="s">
        <v>81</v>
      </c>
      <c r="I4" s="98" t="s">
        <v>81</v>
      </c>
    </row>
    <row r="5" spans="1:10" ht="19.5" customHeight="1">
      <c r="A5" s="95" t="s">
        <v>526</v>
      </c>
      <c r="B5" s="96" t="s">
        <v>527</v>
      </c>
      <c r="C5" s="24" t="s">
        <v>80</v>
      </c>
      <c r="D5" s="97" t="s">
        <v>524</v>
      </c>
      <c r="E5" s="98" t="s">
        <v>525</v>
      </c>
      <c r="F5" s="97" t="s">
        <v>81</v>
      </c>
      <c r="G5" s="98" t="s">
        <v>81</v>
      </c>
      <c r="H5" s="97" t="s">
        <v>81</v>
      </c>
      <c r="I5" s="98" t="s">
        <v>81</v>
      </c>
    </row>
    <row r="6" spans="1:10" ht="19.5" customHeight="1">
      <c r="A6" s="95" t="s">
        <v>528</v>
      </c>
      <c r="B6" s="96" t="s">
        <v>529</v>
      </c>
      <c r="C6" s="24" t="s">
        <v>80</v>
      </c>
      <c r="D6" s="97" t="s">
        <v>524</v>
      </c>
      <c r="E6" s="98" t="s">
        <v>525</v>
      </c>
      <c r="F6" s="97" t="s">
        <v>81</v>
      </c>
      <c r="G6" s="98" t="s">
        <v>81</v>
      </c>
      <c r="H6" s="97" t="s">
        <v>81</v>
      </c>
      <c r="I6" s="98" t="s">
        <v>81</v>
      </c>
    </row>
    <row r="7" spans="1:10" ht="19.5" customHeight="1">
      <c r="A7" s="95" t="s">
        <v>530</v>
      </c>
      <c r="B7" s="96" t="s">
        <v>531</v>
      </c>
      <c r="C7" s="24" t="s">
        <v>80</v>
      </c>
      <c r="D7" s="97" t="s">
        <v>532</v>
      </c>
      <c r="E7" s="98" t="s">
        <v>525</v>
      </c>
      <c r="F7" s="97" t="s">
        <v>81</v>
      </c>
      <c r="G7" s="98" t="s">
        <v>81</v>
      </c>
      <c r="H7" s="97" t="s">
        <v>81</v>
      </c>
      <c r="I7" s="98" t="s">
        <v>81</v>
      </c>
    </row>
    <row r="8" spans="1:10" ht="19.5" customHeight="1">
      <c r="A8" s="95" t="s">
        <v>533</v>
      </c>
      <c r="B8" s="96" t="s">
        <v>534</v>
      </c>
      <c r="C8" s="24" t="s">
        <v>80</v>
      </c>
      <c r="D8" s="97" t="s">
        <v>532</v>
      </c>
      <c r="E8" s="98" t="s">
        <v>525</v>
      </c>
      <c r="F8" s="97" t="s">
        <v>81</v>
      </c>
      <c r="G8" s="98" t="s">
        <v>81</v>
      </c>
      <c r="H8" s="97" t="s">
        <v>81</v>
      </c>
      <c r="I8" s="98" t="s">
        <v>81</v>
      </c>
    </row>
    <row r="9" spans="1:10" ht="19.5" customHeight="1">
      <c r="A9" s="99" t="s">
        <v>535</v>
      </c>
      <c r="B9" s="100" t="s">
        <v>536</v>
      </c>
      <c r="C9" s="31" t="s">
        <v>83</v>
      </c>
      <c r="D9" s="97" t="s">
        <v>537</v>
      </c>
      <c r="E9" s="101" t="s">
        <v>538</v>
      </c>
      <c r="F9" s="97" t="s">
        <v>539</v>
      </c>
      <c r="G9" s="101" t="s">
        <v>540</v>
      </c>
      <c r="H9" s="97" t="s">
        <v>541</v>
      </c>
      <c r="I9" s="101" t="s">
        <v>542</v>
      </c>
    </row>
    <row r="10" spans="1:10" ht="19.5" customHeight="1">
      <c r="A10" s="99" t="s">
        <v>543</v>
      </c>
      <c r="B10" s="100" t="s">
        <v>544</v>
      </c>
      <c r="C10" s="31" t="s">
        <v>83</v>
      </c>
      <c r="D10" s="97" t="s">
        <v>537</v>
      </c>
      <c r="E10" s="101" t="s">
        <v>538</v>
      </c>
      <c r="F10" s="97" t="s">
        <v>539</v>
      </c>
      <c r="G10" s="101" t="s">
        <v>540</v>
      </c>
      <c r="H10" s="97" t="s">
        <v>541</v>
      </c>
      <c r="I10" s="101" t="s">
        <v>542</v>
      </c>
    </row>
    <row r="11" spans="1:10" ht="19.5" customHeight="1">
      <c r="A11" s="99" t="s">
        <v>545</v>
      </c>
      <c r="B11" s="100" t="s">
        <v>546</v>
      </c>
      <c r="C11" s="31" t="s">
        <v>83</v>
      </c>
      <c r="D11" s="97" t="s">
        <v>537</v>
      </c>
      <c r="E11" s="101" t="s">
        <v>538</v>
      </c>
      <c r="F11" s="97" t="s">
        <v>547</v>
      </c>
      <c r="G11" s="101" t="s">
        <v>540</v>
      </c>
      <c r="H11" s="97" t="s">
        <v>541</v>
      </c>
      <c r="I11" s="101" t="s">
        <v>542</v>
      </c>
    </row>
    <row r="12" spans="1:10" ht="19.5" customHeight="1">
      <c r="A12" s="99" t="s">
        <v>548</v>
      </c>
      <c r="B12" s="100" t="s">
        <v>549</v>
      </c>
      <c r="C12" s="31" t="s">
        <v>83</v>
      </c>
      <c r="D12" s="97" t="s">
        <v>539</v>
      </c>
      <c r="E12" s="101" t="s">
        <v>538</v>
      </c>
      <c r="F12" s="97" t="s">
        <v>547</v>
      </c>
      <c r="G12" s="101" t="s">
        <v>540</v>
      </c>
      <c r="H12" s="97" t="s">
        <v>541</v>
      </c>
      <c r="I12" s="101" t="s">
        <v>542</v>
      </c>
    </row>
    <row r="13" spans="1:10" ht="19.5" customHeight="1">
      <c r="A13" s="99" t="s">
        <v>550</v>
      </c>
      <c r="B13" s="100" t="s">
        <v>551</v>
      </c>
      <c r="C13" s="31" t="s">
        <v>83</v>
      </c>
      <c r="D13" s="97" t="s">
        <v>539</v>
      </c>
      <c r="E13" s="101" t="s">
        <v>538</v>
      </c>
      <c r="F13" s="97" t="s">
        <v>552</v>
      </c>
      <c r="G13" s="101" t="s">
        <v>540</v>
      </c>
      <c r="H13" s="97" t="s">
        <v>541</v>
      </c>
      <c r="I13" s="101" t="s">
        <v>542</v>
      </c>
    </row>
    <row r="14" spans="1:10" ht="19.5" customHeight="1">
      <c r="A14" s="99" t="s">
        <v>553</v>
      </c>
      <c r="B14" s="100" t="s">
        <v>554</v>
      </c>
      <c r="C14" s="31" t="s">
        <v>83</v>
      </c>
      <c r="D14" s="97" t="s">
        <v>537</v>
      </c>
      <c r="E14" s="101" t="s">
        <v>538</v>
      </c>
      <c r="F14" s="97" t="s">
        <v>539</v>
      </c>
      <c r="G14" s="101" t="s">
        <v>540</v>
      </c>
      <c r="H14" s="97" t="s">
        <v>555</v>
      </c>
      <c r="I14" s="101" t="s">
        <v>556</v>
      </c>
    </row>
    <row r="15" spans="1:10" ht="19.5" customHeight="1">
      <c r="A15" s="99" t="s">
        <v>557</v>
      </c>
      <c r="B15" s="100" t="s">
        <v>558</v>
      </c>
      <c r="C15" s="31" t="s">
        <v>83</v>
      </c>
      <c r="D15" s="97" t="s">
        <v>537</v>
      </c>
      <c r="E15" s="101" t="s">
        <v>538</v>
      </c>
      <c r="F15" s="97" t="s">
        <v>539</v>
      </c>
      <c r="G15" s="101" t="s">
        <v>540</v>
      </c>
      <c r="H15" s="97" t="s">
        <v>555</v>
      </c>
      <c r="I15" s="101" t="s">
        <v>556</v>
      </c>
    </row>
    <row r="16" spans="1:10" ht="19.5" customHeight="1">
      <c r="A16" s="99" t="s">
        <v>559</v>
      </c>
      <c r="B16" s="100" t="s">
        <v>560</v>
      </c>
      <c r="C16" s="31" t="s">
        <v>83</v>
      </c>
      <c r="D16" s="97" t="s">
        <v>537</v>
      </c>
      <c r="E16" s="101" t="s">
        <v>538</v>
      </c>
      <c r="F16" s="97" t="s">
        <v>547</v>
      </c>
      <c r="G16" s="101" t="s">
        <v>540</v>
      </c>
      <c r="H16" s="97" t="s">
        <v>555</v>
      </c>
      <c r="I16" s="101" t="s">
        <v>556</v>
      </c>
    </row>
    <row r="17" spans="1:9" ht="19.5" customHeight="1">
      <c r="A17" s="99" t="s">
        <v>561</v>
      </c>
      <c r="B17" s="100" t="s">
        <v>562</v>
      </c>
      <c r="C17" s="31" t="s">
        <v>83</v>
      </c>
      <c r="D17" s="97" t="s">
        <v>539</v>
      </c>
      <c r="E17" s="101" t="s">
        <v>538</v>
      </c>
      <c r="F17" s="97" t="s">
        <v>547</v>
      </c>
      <c r="G17" s="101" t="s">
        <v>540</v>
      </c>
      <c r="H17" s="97" t="s">
        <v>555</v>
      </c>
      <c r="I17" s="101" t="s">
        <v>556</v>
      </c>
    </row>
    <row r="18" spans="1:9" ht="19.5" customHeight="1">
      <c r="A18" s="99" t="s">
        <v>563</v>
      </c>
      <c r="B18" s="100" t="s">
        <v>564</v>
      </c>
      <c r="C18" s="31" t="s">
        <v>83</v>
      </c>
      <c r="D18" s="97" t="s">
        <v>539</v>
      </c>
      <c r="E18" s="101" t="s">
        <v>538</v>
      </c>
      <c r="F18" s="97" t="s">
        <v>552</v>
      </c>
      <c r="G18" s="101" t="s">
        <v>540</v>
      </c>
      <c r="H18" s="97" t="s">
        <v>555</v>
      </c>
      <c r="I18" s="101" t="s">
        <v>556</v>
      </c>
    </row>
    <row r="19" spans="1:9" ht="19.5" customHeight="1">
      <c r="A19" s="102" t="s">
        <v>565</v>
      </c>
      <c r="B19" s="103" t="s">
        <v>566</v>
      </c>
      <c r="C19" s="39" t="s">
        <v>87</v>
      </c>
      <c r="D19" s="97" t="s">
        <v>567</v>
      </c>
      <c r="E19" s="101" t="s">
        <v>568</v>
      </c>
      <c r="F19" s="97" t="s">
        <v>569</v>
      </c>
      <c r="G19" s="101" t="s">
        <v>570</v>
      </c>
      <c r="H19" s="97" t="s">
        <v>571</v>
      </c>
      <c r="I19" s="101" t="s">
        <v>572</v>
      </c>
    </row>
    <row r="20" spans="1:9" ht="19.5" customHeight="1">
      <c r="A20" s="102" t="s">
        <v>573</v>
      </c>
      <c r="B20" s="103" t="s">
        <v>574</v>
      </c>
      <c r="C20" s="39" t="s">
        <v>87</v>
      </c>
      <c r="D20" s="97" t="s">
        <v>567</v>
      </c>
      <c r="E20" s="101" t="s">
        <v>568</v>
      </c>
      <c r="F20" s="97" t="s">
        <v>569</v>
      </c>
      <c r="G20" s="101" t="s">
        <v>570</v>
      </c>
      <c r="H20" s="97" t="s">
        <v>571</v>
      </c>
      <c r="I20" s="101" t="s">
        <v>572</v>
      </c>
    </row>
    <row r="21" spans="1:9" ht="19.5" customHeight="1">
      <c r="A21" s="102" t="s">
        <v>575</v>
      </c>
      <c r="B21" s="103" t="s">
        <v>576</v>
      </c>
      <c r="C21" s="39" t="s">
        <v>87</v>
      </c>
      <c r="D21" s="97" t="s">
        <v>567</v>
      </c>
      <c r="E21" s="101" t="s">
        <v>568</v>
      </c>
      <c r="F21" s="97" t="s">
        <v>577</v>
      </c>
      <c r="G21" s="101" t="s">
        <v>570</v>
      </c>
      <c r="H21" s="97" t="s">
        <v>571</v>
      </c>
      <c r="I21" s="101" t="s">
        <v>572</v>
      </c>
    </row>
    <row r="22" spans="1:9" ht="19.5" customHeight="1">
      <c r="A22" s="102" t="s">
        <v>578</v>
      </c>
      <c r="B22" s="103" t="s">
        <v>579</v>
      </c>
      <c r="C22" s="39" t="s">
        <v>87</v>
      </c>
      <c r="D22" s="97" t="s">
        <v>569</v>
      </c>
      <c r="E22" s="101" t="s">
        <v>568</v>
      </c>
      <c r="F22" s="97" t="s">
        <v>577</v>
      </c>
      <c r="G22" s="101" t="s">
        <v>570</v>
      </c>
      <c r="H22" s="97" t="s">
        <v>571</v>
      </c>
      <c r="I22" s="101" t="s">
        <v>572</v>
      </c>
    </row>
    <row r="23" spans="1:9" ht="19.5" customHeight="1">
      <c r="A23" s="102" t="s">
        <v>580</v>
      </c>
      <c r="B23" s="103" t="s">
        <v>581</v>
      </c>
      <c r="C23" s="39" t="s">
        <v>87</v>
      </c>
      <c r="D23" s="97" t="s">
        <v>569</v>
      </c>
      <c r="E23" s="101" t="s">
        <v>568</v>
      </c>
      <c r="F23" s="97" t="s">
        <v>582</v>
      </c>
      <c r="G23" s="101" t="s">
        <v>570</v>
      </c>
      <c r="H23" s="97" t="s">
        <v>571</v>
      </c>
      <c r="I23" s="101" t="s">
        <v>572</v>
      </c>
    </row>
    <row r="24" spans="1:9" ht="19.5" customHeight="1">
      <c r="A24" s="102" t="s">
        <v>583</v>
      </c>
      <c r="B24" s="103" t="s">
        <v>584</v>
      </c>
      <c r="C24" s="39" t="s">
        <v>87</v>
      </c>
      <c r="D24" s="97" t="s">
        <v>567</v>
      </c>
      <c r="E24" s="101" t="s">
        <v>568</v>
      </c>
      <c r="F24" s="97" t="s">
        <v>569</v>
      </c>
      <c r="G24" s="101" t="s">
        <v>570</v>
      </c>
      <c r="H24" s="97" t="s">
        <v>585</v>
      </c>
      <c r="I24" s="101" t="s">
        <v>586</v>
      </c>
    </row>
    <row r="25" spans="1:9" ht="19.5" customHeight="1">
      <c r="A25" s="102" t="s">
        <v>587</v>
      </c>
      <c r="B25" s="103" t="s">
        <v>588</v>
      </c>
      <c r="C25" s="39" t="s">
        <v>87</v>
      </c>
      <c r="D25" s="97" t="s">
        <v>567</v>
      </c>
      <c r="E25" s="101" t="s">
        <v>568</v>
      </c>
      <c r="F25" s="97" t="s">
        <v>569</v>
      </c>
      <c r="G25" s="101" t="s">
        <v>570</v>
      </c>
      <c r="H25" s="97" t="s">
        <v>585</v>
      </c>
      <c r="I25" s="101" t="s">
        <v>586</v>
      </c>
    </row>
    <row r="26" spans="1:9" ht="19.5" customHeight="1">
      <c r="A26" s="102" t="s">
        <v>589</v>
      </c>
      <c r="B26" s="103" t="s">
        <v>590</v>
      </c>
      <c r="C26" s="39" t="s">
        <v>87</v>
      </c>
      <c r="D26" s="97" t="s">
        <v>567</v>
      </c>
      <c r="E26" s="101" t="s">
        <v>568</v>
      </c>
      <c r="F26" s="97" t="s">
        <v>577</v>
      </c>
      <c r="G26" s="101" t="s">
        <v>570</v>
      </c>
      <c r="H26" s="97" t="s">
        <v>585</v>
      </c>
      <c r="I26" s="101" t="s">
        <v>586</v>
      </c>
    </row>
    <row r="27" spans="1:9" ht="19.5" customHeight="1">
      <c r="A27" s="102" t="s">
        <v>591</v>
      </c>
      <c r="B27" s="103" t="s">
        <v>592</v>
      </c>
      <c r="C27" s="39" t="s">
        <v>87</v>
      </c>
      <c r="D27" s="97" t="s">
        <v>569</v>
      </c>
      <c r="E27" s="101" t="s">
        <v>568</v>
      </c>
      <c r="F27" s="97" t="s">
        <v>577</v>
      </c>
      <c r="G27" s="101" t="s">
        <v>570</v>
      </c>
      <c r="H27" s="97" t="s">
        <v>585</v>
      </c>
      <c r="I27" s="101" t="s">
        <v>586</v>
      </c>
    </row>
    <row r="28" spans="1:9" ht="19.5" customHeight="1">
      <c r="A28" s="102" t="s">
        <v>593</v>
      </c>
      <c r="B28" s="103" t="s">
        <v>594</v>
      </c>
      <c r="C28" s="39" t="s">
        <v>87</v>
      </c>
      <c r="D28" s="97" t="s">
        <v>569</v>
      </c>
      <c r="E28" s="101" t="s">
        <v>568</v>
      </c>
      <c r="F28" s="97" t="s">
        <v>582</v>
      </c>
      <c r="G28" s="101" t="s">
        <v>570</v>
      </c>
      <c r="H28" s="97" t="s">
        <v>585</v>
      </c>
      <c r="I28" s="101" t="s">
        <v>586</v>
      </c>
    </row>
    <row r="29" spans="1:9" ht="19.5" customHeight="1">
      <c r="A29" s="104" t="s">
        <v>595</v>
      </c>
      <c r="B29" s="105" t="s">
        <v>596</v>
      </c>
      <c r="C29" s="106" t="s">
        <v>91</v>
      </c>
      <c r="D29" s="97" t="s">
        <v>597</v>
      </c>
      <c r="E29" s="101" t="s">
        <v>598</v>
      </c>
      <c r="F29" s="97" t="s">
        <v>599</v>
      </c>
      <c r="G29" s="101" t="s">
        <v>600</v>
      </c>
      <c r="H29" s="97" t="s">
        <v>601</v>
      </c>
      <c r="I29" s="101" t="s">
        <v>602</v>
      </c>
    </row>
    <row r="30" spans="1:9" ht="19.5" customHeight="1">
      <c r="A30" s="104" t="s">
        <v>603</v>
      </c>
      <c r="B30" s="105" t="s">
        <v>604</v>
      </c>
      <c r="C30" s="106" t="s">
        <v>91</v>
      </c>
      <c r="D30" s="97" t="s">
        <v>597</v>
      </c>
      <c r="E30" s="101" t="s">
        <v>598</v>
      </c>
      <c r="F30" s="97" t="s">
        <v>599</v>
      </c>
      <c r="G30" s="101" t="s">
        <v>600</v>
      </c>
      <c r="H30" s="97" t="s">
        <v>601</v>
      </c>
      <c r="I30" s="101" t="s">
        <v>602</v>
      </c>
    </row>
    <row r="31" spans="1:9" ht="19.5" customHeight="1">
      <c r="A31" s="104" t="s">
        <v>605</v>
      </c>
      <c r="B31" s="105" t="s">
        <v>606</v>
      </c>
      <c r="C31" s="106" t="s">
        <v>91</v>
      </c>
      <c r="D31" s="97" t="s">
        <v>597</v>
      </c>
      <c r="E31" s="101" t="s">
        <v>598</v>
      </c>
      <c r="F31" s="97" t="s">
        <v>607</v>
      </c>
      <c r="G31" s="101" t="s">
        <v>600</v>
      </c>
      <c r="H31" s="97" t="s">
        <v>601</v>
      </c>
      <c r="I31" s="101" t="s">
        <v>602</v>
      </c>
    </row>
    <row r="32" spans="1:9" ht="19.5" customHeight="1">
      <c r="A32" s="104" t="s">
        <v>608</v>
      </c>
      <c r="B32" s="105" t="s">
        <v>609</v>
      </c>
      <c r="C32" s="106" t="s">
        <v>91</v>
      </c>
      <c r="D32" s="97" t="s">
        <v>599</v>
      </c>
      <c r="E32" s="101" t="s">
        <v>598</v>
      </c>
      <c r="F32" s="97" t="s">
        <v>607</v>
      </c>
      <c r="G32" s="101" t="s">
        <v>600</v>
      </c>
      <c r="H32" s="97" t="s">
        <v>601</v>
      </c>
      <c r="I32" s="101" t="s">
        <v>602</v>
      </c>
    </row>
    <row r="33" spans="1:9" ht="19.5" customHeight="1">
      <c r="A33" s="104" t="s">
        <v>610</v>
      </c>
      <c r="B33" s="105" t="s">
        <v>611</v>
      </c>
      <c r="C33" s="106" t="s">
        <v>91</v>
      </c>
      <c r="D33" s="97" t="s">
        <v>599</v>
      </c>
      <c r="E33" s="101" t="s">
        <v>598</v>
      </c>
      <c r="F33" s="97" t="s">
        <v>612</v>
      </c>
      <c r="G33" s="101" t="s">
        <v>600</v>
      </c>
      <c r="H33" s="97" t="s">
        <v>601</v>
      </c>
      <c r="I33" s="101" t="s">
        <v>602</v>
      </c>
    </row>
    <row r="34" spans="1:9" ht="19.5" customHeight="1">
      <c r="A34" s="88" t="s">
        <v>613</v>
      </c>
      <c r="B34" s="107" t="s">
        <v>614</v>
      </c>
      <c r="C34" s="108" t="s">
        <v>95</v>
      </c>
      <c r="D34" s="97" t="s">
        <v>615</v>
      </c>
      <c r="E34" s="101" t="s">
        <v>616</v>
      </c>
      <c r="F34" s="97" t="s">
        <v>617</v>
      </c>
      <c r="G34" s="101" t="s">
        <v>618</v>
      </c>
      <c r="H34" s="97" t="s">
        <v>619</v>
      </c>
      <c r="I34" s="101" t="s">
        <v>620</v>
      </c>
    </row>
    <row r="35" spans="1:9" ht="19.5" customHeight="1">
      <c r="A35" s="88" t="s">
        <v>621</v>
      </c>
      <c r="B35" s="107" t="s">
        <v>622</v>
      </c>
      <c r="C35" s="108" t="s">
        <v>95</v>
      </c>
      <c r="D35" s="97" t="s">
        <v>615</v>
      </c>
      <c r="E35" s="101" t="s">
        <v>616</v>
      </c>
      <c r="F35" s="97" t="s">
        <v>617</v>
      </c>
      <c r="G35" s="101" t="s">
        <v>618</v>
      </c>
      <c r="H35" s="97" t="s">
        <v>619</v>
      </c>
      <c r="I35" s="101" t="s">
        <v>620</v>
      </c>
    </row>
    <row r="36" spans="1:9" ht="19.5" customHeight="1">
      <c r="A36" s="88" t="s">
        <v>623</v>
      </c>
      <c r="B36" s="107" t="s">
        <v>624</v>
      </c>
      <c r="C36" s="108" t="s">
        <v>95</v>
      </c>
      <c r="D36" s="97" t="s">
        <v>615</v>
      </c>
      <c r="E36" s="101" t="s">
        <v>616</v>
      </c>
      <c r="F36" s="97" t="s">
        <v>625</v>
      </c>
      <c r="G36" s="101" t="s">
        <v>618</v>
      </c>
      <c r="H36" s="97" t="s">
        <v>619</v>
      </c>
      <c r="I36" s="101" t="s">
        <v>620</v>
      </c>
    </row>
    <row r="37" spans="1:9" ht="19.5" customHeight="1">
      <c r="A37" s="88" t="s">
        <v>626</v>
      </c>
      <c r="B37" s="107" t="s">
        <v>627</v>
      </c>
      <c r="C37" s="108" t="s">
        <v>95</v>
      </c>
      <c r="D37" s="97" t="s">
        <v>617</v>
      </c>
      <c r="E37" s="101" t="s">
        <v>616</v>
      </c>
      <c r="F37" s="97" t="s">
        <v>625</v>
      </c>
      <c r="G37" s="101" t="s">
        <v>618</v>
      </c>
      <c r="H37" s="97" t="s">
        <v>619</v>
      </c>
      <c r="I37" s="101" t="s">
        <v>620</v>
      </c>
    </row>
    <row r="38" spans="1:9" ht="19.5" customHeight="1">
      <c r="A38" s="88" t="s">
        <v>628</v>
      </c>
      <c r="B38" s="107" t="s">
        <v>629</v>
      </c>
      <c r="C38" s="108" t="s">
        <v>95</v>
      </c>
      <c r="D38" s="97" t="s">
        <v>617</v>
      </c>
      <c r="E38" s="101" t="s">
        <v>616</v>
      </c>
      <c r="F38" s="97" t="s">
        <v>630</v>
      </c>
      <c r="G38" s="101" t="s">
        <v>618</v>
      </c>
      <c r="H38" s="97" t="s">
        <v>619</v>
      </c>
      <c r="I38" s="101" t="s">
        <v>620</v>
      </c>
    </row>
    <row r="39" spans="1:9" ht="19.5" customHeight="1">
      <c r="A39" s="92" t="s">
        <v>631</v>
      </c>
      <c r="B39" s="109" t="s">
        <v>632</v>
      </c>
      <c r="C39" s="110" t="s">
        <v>99</v>
      </c>
      <c r="D39" s="97" t="s">
        <v>633</v>
      </c>
      <c r="E39" s="101" t="s">
        <v>634</v>
      </c>
      <c r="F39" s="97" t="s">
        <v>635</v>
      </c>
      <c r="G39" s="101" t="s">
        <v>636</v>
      </c>
      <c r="H39" s="97" t="s">
        <v>637</v>
      </c>
      <c r="I39" s="101" t="s">
        <v>638</v>
      </c>
    </row>
    <row r="40" spans="1:9" ht="19.5" customHeight="1">
      <c r="A40" s="92" t="s">
        <v>639</v>
      </c>
      <c r="B40" s="109" t="s">
        <v>640</v>
      </c>
      <c r="C40" s="110" t="s">
        <v>99</v>
      </c>
      <c r="D40" s="97" t="s">
        <v>633</v>
      </c>
      <c r="E40" s="101" t="s">
        <v>634</v>
      </c>
      <c r="F40" s="97" t="s">
        <v>635</v>
      </c>
      <c r="G40" s="101" t="s">
        <v>636</v>
      </c>
      <c r="H40" s="97" t="s">
        <v>637</v>
      </c>
      <c r="I40" s="101" t="s">
        <v>638</v>
      </c>
    </row>
    <row r="41" spans="1:9" ht="19.5" customHeight="1">
      <c r="A41" s="92" t="s">
        <v>641</v>
      </c>
      <c r="B41" s="109" t="s">
        <v>642</v>
      </c>
      <c r="C41" s="110" t="s">
        <v>99</v>
      </c>
      <c r="D41" s="97" t="s">
        <v>633</v>
      </c>
      <c r="E41" s="101" t="s">
        <v>634</v>
      </c>
      <c r="F41" s="97" t="s">
        <v>643</v>
      </c>
      <c r="G41" s="101" t="s">
        <v>636</v>
      </c>
      <c r="H41" s="97" t="s">
        <v>637</v>
      </c>
      <c r="I41" s="101" t="s">
        <v>638</v>
      </c>
    </row>
    <row r="42" spans="1:9" ht="19.5" customHeight="1">
      <c r="A42" s="92" t="s">
        <v>644</v>
      </c>
      <c r="B42" s="109" t="s">
        <v>645</v>
      </c>
      <c r="C42" s="110" t="s">
        <v>99</v>
      </c>
      <c r="D42" s="97" t="s">
        <v>635</v>
      </c>
      <c r="E42" s="101" t="s">
        <v>634</v>
      </c>
      <c r="F42" s="97" t="s">
        <v>643</v>
      </c>
      <c r="G42" s="101" t="s">
        <v>636</v>
      </c>
      <c r="H42" s="97" t="s">
        <v>637</v>
      </c>
      <c r="I42" s="101" t="s">
        <v>638</v>
      </c>
    </row>
    <row r="43" spans="1:9" ht="19.5" customHeight="1">
      <c r="A43" s="92" t="s">
        <v>646</v>
      </c>
      <c r="B43" s="109" t="s">
        <v>647</v>
      </c>
      <c r="C43" s="110" t="s">
        <v>99</v>
      </c>
      <c r="D43" s="97" t="s">
        <v>635</v>
      </c>
      <c r="E43" s="101" t="s">
        <v>634</v>
      </c>
      <c r="F43" s="97" t="s">
        <v>648</v>
      </c>
      <c r="G43" s="101" t="s">
        <v>636</v>
      </c>
      <c r="H43" s="97" t="s">
        <v>637</v>
      </c>
      <c r="I43" s="101" t="s">
        <v>638</v>
      </c>
    </row>
    <row r="44" spans="1:9" ht="19.5" customHeight="1">
      <c r="A44" s="111" t="s">
        <v>649</v>
      </c>
      <c r="B44" s="112" t="s">
        <v>650</v>
      </c>
      <c r="C44" s="113" t="s">
        <v>103</v>
      </c>
      <c r="D44" s="97" t="s">
        <v>651</v>
      </c>
      <c r="E44" s="101" t="s">
        <v>652</v>
      </c>
      <c r="F44" s="97" t="s">
        <v>653</v>
      </c>
      <c r="G44" s="101" t="s">
        <v>654</v>
      </c>
      <c r="H44" s="97" t="s">
        <v>655</v>
      </c>
      <c r="I44" s="101" t="s">
        <v>656</v>
      </c>
    </row>
    <row r="45" spans="1:9" ht="19.5" customHeight="1">
      <c r="A45" s="111" t="s">
        <v>657</v>
      </c>
      <c r="B45" s="112" t="s">
        <v>658</v>
      </c>
      <c r="C45" s="113" t="s">
        <v>103</v>
      </c>
      <c r="D45" s="97" t="s">
        <v>651</v>
      </c>
      <c r="E45" s="101" t="s">
        <v>652</v>
      </c>
      <c r="F45" s="97" t="s">
        <v>653</v>
      </c>
      <c r="G45" s="101" t="s">
        <v>654</v>
      </c>
      <c r="H45" s="97" t="s">
        <v>655</v>
      </c>
      <c r="I45" s="101" t="s">
        <v>656</v>
      </c>
    </row>
    <row r="46" spans="1:9" ht="19.5" customHeight="1">
      <c r="A46" s="111" t="s">
        <v>659</v>
      </c>
      <c r="B46" s="112" t="s">
        <v>660</v>
      </c>
      <c r="C46" s="113" t="s">
        <v>103</v>
      </c>
      <c r="D46" s="97" t="s">
        <v>651</v>
      </c>
      <c r="E46" s="101" t="s">
        <v>652</v>
      </c>
      <c r="F46" s="97" t="s">
        <v>661</v>
      </c>
      <c r="G46" s="101" t="s">
        <v>654</v>
      </c>
      <c r="H46" s="97" t="s">
        <v>655</v>
      </c>
      <c r="I46" s="101" t="s">
        <v>656</v>
      </c>
    </row>
    <row r="47" spans="1:9" ht="19.5" customHeight="1">
      <c r="A47" s="111" t="s">
        <v>662</v>
      </c>
      <c r="B47" s="112" t="s">
        <v>663</v>
      </c>
      <c r="C47" s="113" t="s">
        <v>103</v>
      </c>
      <c r="D47" s="97" t="s">
        <v>653</v>
      </c>
      <c r="E47" s="101" t="s">
        <v>652</v>
      </c>
      <c r="F47" s="97" t="s">
        <v>661</v>
      </c>
      <c r="G47" s="101" t="s">
        <v>654</v>
      </c>
      <c r="H47" s="97" t="s">
        <v>655</v>
      </c>
      <c r="I47" s="101" t="s">
        <v>656</v>
      </c>
    </row>
    <row r="48" spans="1:9" ht="19.5" customHeight="1">
      <c r="A48" s="111" t="s">
        <v>664</v>
      </c>
      <c r="B48" s="112" t="s">
        <v>665</v>
      </c>
      <c r="C48" s="113" t="s">
        <v>103</v>
      </c>
      <c r="D48" s="97" t="s">
        <v>653</v>
      </c>
      <c r="E48" s="101" t="s">
        <v>652</v>
      </c>
      <c r="F48" s="97" t="s">
        <v>666</v>
      </c>
      <c r="G48" s="101" t="s">
        <v>654</v>
      </c>
      <c r="H48" s="97" t="s">
        <v>655</v>
      </c>
      <c r="I48" s="101" t="s">
        <v>656</v>
      </c>
    </row>
    <row r="49" spans="1:9" ht="19.5" customHeight="1">
      <c r="A49" s="95" t="s">
        <v>667</v>
      </c>
      <c r="B49" s="96" t="s">
        <v>668</v>
      </c>
      <c r="C49" s="24" t="s">
        <v>80</v>
      </c>
      <c r="D49" s="97" t="s">
        <v>524</v>
      </c>
      <c r="E49" s="98" t="s">
        <v>525</v>
      </c>
      <c r="F49" s="97" t="s">
        <v>81</v>
      </c>
      <c r="G49" s="98" t="s">
        <v>81</v>
      </c>
      <c r="H49" s="97" t="s">
        <v>81</v>
      </c>
      <c r="I49" s="98" t="s">
        <v>81</v>
      </c>
    </row>
    <row r="50" spans="1:9" ht="19.5" customHeight="1">
      <c r="A50" s="95" t="s">
        <v>669</v>
      </c>
      <c r="B50" s="96" t="s">
        <v>670</v>
      </c>
      <c r="C50" s="24" t="s">
        <v>80</v>
      </c>
      <c r="D50" s="97" t="s">
        <v>671</v>
      </c>
      <c r="E50" s="98" t="s">
        <v>525</v>
      </c>
      <c r="F50" s="97" t="s">
        <v>81</v>
      </c>
      <c r="G50" s="98" t="s">
        <v>81</v>
      </c>
      <c r="H50" s="97" t="s">
        <v>81</v>
      </c>
      <c r="I50" s="98" t="s">
        <v>81</v>
      </c>
    </row>
    <row r="51" spans="1:9" ht="19.5" customHeight="1">
      <c r="A51" s="95" t="s">
        <v>672</v>
      </c>
      <c r="B51" s="96" t="s">
        <v>673</v>
      </c>
      <c r="C51" s="24" t="s">
        <v>80</v>
      </c>
      <c r="D51" s="97" t="s">
        <v>674</v>
      </c>
      <c r="E51" s="98" t="s">
        <v>525</v>
      </c>
      <c r="F51" s="97" t="s">
        <v>81</v>
      </c>
      <c r="G51" s="98" t="s">
        <v>81</v>
      </c>
      <c r="H51" s="97" t="s">
        <v>81</v>
      </c>
      <c r="I51" s="98" t="s">
        <v>81</v>
      </c>
    </row>
    <row r="52" spans="1:9" ht="19.5" customHeight="1">
      <c r="A52" s="95" t="s">
        <v>675</v>
      </c>
      <c r="B52" s="96" t="s">
        <v>676</v>
      </c>
      <c r="C52" s="24" t="s">
        <v>80</v>
      </c>
      <c r="D52" s="97" t="s">
        <v>524</v>
      </c>
      <c r="E52" s="98" t="s">
        <v>525</v>
      </c>
      <c r="F52" s="97" t="s">
        <v>81</v>
      </c>
      <c r="G52" s="98" t="s">
        <v>81</v>
      </c>
      <c r="H52" s="97" t="s">
        <v>81</v>
      </c>
      <c r="I52" s="98" t="s">
        <v>81</v>
      </c>
    </row>
    <row r="53" spans="1:9" ht="19.5" customHeight="1">
      <c r="A53" s="95" t="s">
        <v>677</v>
      </c>
      <c r="B53" s="96" t="s">
        <v>678</v>
      </c>
      <c r="C53" s="24" t="s">
        <v>80</v>
      </c>
      <c r="D53" s="97" t="s">
        <v>671</v>
      </c>
      <c r="E53" s="98" t="s">
        <v>525</v>
      </c>
      <c r="F53" s="97" t="s">
        <v>81</v>
      </c>
      <c r="G53" s="98" t="s">
        <v>81</v>
      </c>
      <c r="H53" s="97" t="s">
        <v>81</v>
      </c>
      <c r="I53" s="98" t="s">
        <v>81</v>
      </c>
    </row>
    <row r="54" spans="1:9" ht="19.5" customHeight="1">
      <c r="A54" s="95" t="s">
        <v>679</v>
      </c>
      <c r="B54" s="96" t="s">
        <v>680</v>
      </c>
      <c r="C54" s="24" t="s">
        <v>80</v>
      </c>
      <c r="D54" s="97" t="s">
        <v>674</v>
      </c>
      <c r="E54" s="98" t="s">
        <v>525</v>
      </c>
      <c r="F54" s="97" t="s">
        <v>81</v>
      </c>
      <c r="G54" s="98" t="s">
        <v>81</v>
      </c>
      <c r="H54" s="97" t="s">
        <v>81</v>
      </c>
      <c r="I54" s="98" t="s">
        <v>81</v>
      </c>
    </row>
    <row r="55" spans="1:9" ht="19.5" customHeight="1">
      <c r="A55" s="95" t="s">
        <v>681</v>
      </c>
      <c r="B55" s="96" t="s">
        <v>682</v>
      </c>
      <c r="C55" s="24" t="s">
        <v>80</v>
      </c>
      <c r="D55" s="97" t="s">
        <v>524</v>
      </c>
      <c r="E55" s="98" t="s">
        <v>525</v>
      </c>
      <c r="F55" s="97" t="s">
        <v>81</v>
      </c>
      <c r="G55" s="98" t="s">
        <v>81</v>
      </c>
      <c r="H55" s="97" t="s">
        <v>81</v>
      </c>
      <c r="I55" s="98" t="s">
        <v>81</v>
      </c>
    </row>
    <row r="56" spans="1:9" ht="19.5" customHeight="1">
      <c r="A56" s="95" t="s">
        <v>683</v>
      </c>
      <c r="B56" s="96" t="s">
        <v>684</v>
      </c>
      <c r="C56" s="24" t="s">
        <v>80</v>
      </c>
      <c r="D56" s="97" t="s">
        <v>671</v>
      </c>
      <c r="E56" s="98" t="s">
        <v>525</v>
      </c>
      <c r="F56" s="97" t="s">
        <v>81</v>
      </c>
      <c r="G56" s="98" t="s">
        <v>81</v>
      </c>
      <c r="H56" s="97" t="s">
        <v>81</v>
      </c>
      <c r="I56" s="98" t="s">
        <v>81</v>
      </c>
    </row>
    <row r="57" spans="1:9" ht="19.5" customHeight="1">
      <c r="A57" s="95" t="s">
        <v>685</v>
      </c>
      <c r="B57" s="96" t="s">
        <v>686</v>
      </c>
      <c r="C57" s="24" t="s">
        <v>80</v>
      </c>
      <c r="D57" s="97" t="s">
        <v>674</v>
      </c>
      <c r="E57" s="98" t="s">
        <v>525</v>
      </c>
      <c r="F57" s="97" t="s">
        <v>81</v>
      </c>
      <c r="G57" s="98" t="s">
        <v>81</v>
      </c>
      <c r="H57" s="97" t="s">
        <v>81</v>
      </c>
      <c r="I57" s="98" t="s">
        <v>81</v>
      </c>
    </row>
    <row r="58" spans="1:9" ht="19.5" customHeight="1">
      <c r="A58" s="95" t="s">
        <v>687</v>
      </c>
      <c r="B58" s="96" t="s">
        <v>688</v>
      </c>
      <c r="C58" s="24" t="s">
        <v>80</v>
      </c>
      <c r="D58" s="97" t="s">
        <v>524</v>
      </c>
      <c r="E58" s="98" t="s">
        <v>525</v>
      </c>
      <c r="F58" s="97" t="s">
        <v>81</v>
      </c>
      <c r="G58" s="98" t="s">
        <v>81</v>
      </c>
      <c r="H58" s="97" t="s">
        <v>81</v>
      </c>
      <c r="I58" s="98" t="s">
        <v>81</v>
      </c>
    </row>
    <row r="59" spans="1:9" ht="19.5" customHeight="1">
      <c r="A59" s="95" t="s">
        <v>689</v>
      </c>
      <c r="B59" s="96" t="s">
        <v>690</v>
      </c>
      <c r="C59" s="24" t="s">
        <v>80</v>
      </c>
      <c r="D59" s="97" t="s">
        <v>671</v>
      </c>
      <c r="E59" s="98" t="s">
        <v>525</v>
      </c>
      <c r="F59" s="97" t="s">
        <v>81</v>
      </c>
      <c r="G59" s="98" t="s">
        <v>81</v>
      </c>
      <c r="H59" s="97" t="s">
        <v>81</v>
      </c>
      <c r="I59" s="98" t="s">
        <v>81</v>
      </c>
    </row>
    <row r="60" spans="1:9" ht="19.5" customHeight="1">
      <c r="A60" s="95" t="s">
        <v>691</v>
      </c>
      <c r="B60" s="96" t="s">
        <v>692</v>
      </c>
      <c r="C60" s="24" t="s">
        <v>80</v>
      </c>
      <c r="D60" s="97" t="s">
        <v>674</v>
      </c>
      <c r="E60" s="98" t="s">
        <v>525</v>
      </c>
      <c r="F60" s="97" t="s">
        <v>81</v>
      </c>
      <c r="G60" s="98" t="s">
        <v>81</v>
      </c>
      <c r="H60" s="97" t="s">
        <v>81</v>
      </c>
      <c r="I60" s="98" t="s">
        <v>81</v>
      </c>
    </row>
    <row r="61" spans="1:9" ht="19.5" customHeight="1">
      <c r="A61" s="95" t="s">
        <v>693</v>
      </c>
      <c r="B61" s="96" t="s">
        <v>694</v>
      </c>
      <c r="C61" s="24" t="s">
        <v>80</v>
      </c>
      <c r="D61" s="97" t="s">
        <v>524</v>
      </c>
      <c r="E61" s="101" t="s">
        <v>695</v>
      </c>
      <c r="F61" s="97" t="s">
        <v>696</v>
      </c>
      <c r="G61" s="101" t="s">
        <v>697</v>
      </c>
      <c r="H61" s="97" t="s">
        <v>81</v>
      </c>
      <c r="I61" s="98" t="s">
        <v>81</v>
      </c>
    </row>
    <row r="62" spans="1:9" ht="19.5" customHeight="1">
      <c r="A62" s="95" t="s">
        <v>698</v>
      </c>
      <c r="B62" s="96" t="s">
        <v>699</v>
      </c>
      <c r="C62" s="24" t="s">
        <v>80</v>
      </c>
      <c r="D62" s="97" t="s">
        <v>671</v>
      </c>
      <c r="E62" s="101" t="s">
        <v>695</v>
      </c>
      <c r="F62" s="97" t="s">
        <v>696</v>
      </c>
      <c r="G62" s="101" t="s">
        <v>697</v>
      </c>
      <c r="H62" s="97" t="s">
        <v>81</v>
      </c>
      <c r="I62" s="98" t="s">
        <v>81</v>
      </c>
    </row>
    <row r="63" spans="1:9" ht="19.5" customHeight="1">
      <c r="A63" s="95" t="s">
        <v>700</v>
      </c>
      <c r="B63" s="96" t="s">
        <v>701</v>
      </c>
      <c r="C63" s="24" t="s">
        <v>80</v>
      </c>
      <c r="D63" s="97" t="s">
        <v>674</v>
      </c>
      <c r="E63" s="101" t="s">
        <v>695</v>
      </c>
      <c r="F63" s="97" t="s">
        <v>696</v>
      </c>
      <c r="G63" s="101" t="s">
        <v>697</v>
      </c>
      <c r="H63" s="97" t="s">
        <v>81</v>
      </c>
      <c r="I63" s="98" t="s">
        <v>81</v>
      </c>
    </row>
    <row r="64" spans="1:9" ht="19.5" customHeight="1">
      <c r="A64" s="95" t="s">
        <v>702</v>
      </c>
      <c r="B64" s="96" t="s">
        <v>703</v>
      </c>
      <c r="C64" s="24" t="s">
        <v>80</v>
      </c>
      <c r="D64" s="97" t="s">
        <v>524</v>
      </c>
      <c r="E64" s="101" t="s">
        <v>695</v>
      </c>
      <c r="F64" s="97" t="s">
        <v>696</v>
      </c>
      <c r="G64" s="101" t="s">
        <v>697</v>
      </c>
      <c r="H64" s="97" t="s">
        <v>81</v>
      </c>
      <c r="I64" s="98" t="s">
        <v>81</v>
      </c>
    </row>
    <row r="65" spans="1:9" ht="19.5" customHeight="1">
      <c r="A65" s="95" t="s">
        <v>704</v>
      </c>
      <c r="B65" s="96" t="s">
        <v>705</v>
      </c>
      <c r="C65" s="24" t="s">
        <v>80</v>
      </c>
      <c r="D65" s="97" t="s">
        <v>671</v>
      </c>
      <c r="E65" s="101" t="s">
        <v>695</v>
      </c>
      <c r="F65" s="97" t="s">
        <v>696</v>
      </c>
      <c r="G65" s="101" t="s">
        <v>697</v>
      </c>
      <c r="H65" s="97" t="s">
        <v>81</v>
      </c>
      <c r="I65" s="98" t="s">
        <v>81</v>
      </c>
    </row>
    <row r="66" spans="1:9" ht="19.5" customHeight="1">
      <c r="A66" s="95" t="s">
        <v>706</v>
      </c>
      <c r="B66" s="96" t="s">
        <v>707</v>
      </c>
      <c r="C66" s="24" t="s">
        <v>80</v>
      </c>
      <c r="D66" s="97" t="s">
        <v>674</v>
      </c>
      <c r="E66" s="101" t="s">
        <v>695</v>
      </c>
      <c r="F66" s="97" t="s">
        <v>696</v>
      </c>
      <c r="G66" s="101" t="s">
        <v>697</v>
      </c>
      <c r="H66" s="97" t="s">
        <v>81</v>
      </c>
      <c r="I66" s="98" t="s">
        <v>81</v>
      </c>
    </row>
    <row r="67" spans="1:9" ht="19.5" customHeight="1">
      <c r="A67" s="95" t="s">
        <v>708</v>
      </c>
      <c r="B67" s="96" t="s">
        <v>709</v>
      </c>
      <c r="C67" s="24" t="s">
        <v>80</v>
      </c>
      <c r="D67" s="97" t="s">
        <v>524</v>
      </c>
      <c r="E67" s="101" t="s">
        <v>695</v>
      </c>
      <c r="F67" s="97" t="s">
        <v>696</v>
      </c>
      <c r="G67" s="101" t="s">
        <v>697</v>
      </c>
      <c r="H67" s="97" t="s">
        <v>81</v>
      </c>
      <c r="I67" s="98" t="s">
        <v>81</v>
      </c>
    </row>
    <row r="68" spans="1:9" ht="19.5" customHeight="1">
      <c r="A68" s="95" t="s">
        <v>710</v>
      </c>
      <c r="B68" s="96" t="s">
        <v>711</v>
      </c>
      <c r="C68" s="24" t="s">
        <v>80</v>
      </c>
      <c r="D68" s="97" t="s">
        <v>671</v>
      </c>
      <c r="E68" s="101" t="s">
        <v>695</v>
      </c>
      <c r="F68" s="97" t="s">
        <v>696</v>
      </c>
      <c r="G68" s="101" t="s">
        <v>697</v>
      </c>
      <c r="H68" s="97" t="s">
        <v>81</v>
      </c>
      <c r="I68" s="98" t="s">
        <v>81</v>
      </c>
    </row>
    <row r="69" spans="1:9" ht="19.5" customHeight="1">
      <c r="A69" s="95" t="s">
        <v>712</v>
      </c>
      <c r="B69" s="96" t="s">
        <v>713</v>
      </c>
      <c r="C69" s="24" t="s">
        <v>80</v>
      </c>
      <c r="D69" s="97" t="s">
        <v>674</v>
      </c>
      <c r="E69" s="101" t="s">
        <v>695</v>
      </c>
      <c r="F69" s="97" t="s">
        <v>696</v>
      </c>
      <c r="G69" s="101" t="s">
        <v>697</v>
      </c>
      <c r="H69" s="97" t="s">
        <v>81</v>
      </c>
      <c r="I69" s="98" t="s">
        <v>81</v>
      </c>
    </row>
    <row r="70" spans="1:9" ht="19.5" customHeight="1">
      <c r="A70" s="95" t="s">
        <v>714</v>
      </c>
      <c r="B70" s="96" t="s">
        <v>715</v>
      </c>
      <c r="C70" s="24" t="s">
        <v>80</v>
      </c>
      <c r="D70" s="97" t="s">
        <v>524</v>
      </c>
      <c r="E70" s="101" t="s">
        <v>695</v>
      </c>
      <c r="F70" s="97" t="s">
        <v>696</v>
      </c>
      <c r="G70" s="101" t="s">
        <v>697</v>
      </c>
      <c r="H70" s="97" t="s">
        <v>81</v>
      </c>
      <c r="I70" s="98" t="s">
        <v>81</v>
      </c>
    </row>
    <row r="71" spans="1:9" ht="19.5" customHeight="1">
      <c r="A71" s="95" t="s">
        <v>716</v>
      </c>
      <c r="B71" s="96" t="s">
        <v>717</v>
      </c>
      <c r="C71" s="24" t="s">
        <v>80</v>
      </c>
      <c r="D71" s="97" t="s">
        <v>671</v>
      </c>
      <c r="E71" s="101" t="s">
        <v>695</v>
      </c>
      <c r="F71" s="97" t="s">
        <v>696</v>
      </c>
      <c r="G71" s="101" t="s">
        <v>697</v>
      </c>
      <c r="H71" s="97" t="s">
        <v>81</v>
      </c>
      <c r="I71" s="98" t="s">
        <v>81</v>
      </c>
    </row>
    <row r="72" spans="1:9" ht="19.5" customHeight="1">
      <c r="A72" s="95" t="s">
        <v>718</v>
      </c>
      <c r="B72" s="96" t="s">
        <v>719</v>
      </c>
      <c r="C72" s="24" t="s">
        <v>80</v>
      </c>
      <c r="D72" s="97" t="s">
        <v>674</v>
      </c>
      <c r="E72" s="101" t="s">
        <v>695</v>
      </c>
      <c r="F72" s="97" t="s">
        <v>696</v>
      </c>
      <c r="G72" s="101" t="s">
        <v>697</v>
      </c>
      <c r="H72" s="97" t="s">
        <v>81</v>
      </c>
      <c r="I72" s="98" t="s">
        <v>81</v>
      </c>
    </row>
    <row r="73" spans="1:9" ht="19.5" customHeight="1">
      <c r="A73" s="99" t="s">
        <v>720</v>
      </c>
      <c r="B73" s="100" t="s">
        <v>721</v>
      </c>
      <c r="C73" s="31" t="s">
        <v>83</v>
      </c>
      <c r="D73" s="97" t="s">
        <v>537</v>
      </c>
      <c r="E73" s="101" t="s">
        <v>722</v>
      </c>
      <c r="F73" s="97" t="s">
        <v>723</v>
      </c>
      <c r="G73" s="101" t="s">
        <v>556</v>
      </c>
      <c r="H73" s="97" t="s">
        <v>81</v>
      </c>
      <c r="I73" s="98" t="s">
        <v>81</v>
      </c>
    </row>
    <row r="74" spans="1:9" ht="19.5" customHeight="1">
      <c r="A74" s="99" t="s">
        <v>724</v>
      </c>
      <c r="B74" s="100" t="s">
        <v>725</v>
      </c>
      <c r="C74" s="31" t="s">
        <v>83</v>
      </c>
      <c r="D74" s="97" t="s">
        <v>547</v>
      </c>
      <c r="E74" s="101" t="s">
        <v>722</v>
      </c>
      <c r="F74" s="97" t="s">
        <v>723</v>
      </c>
      <c r="G74" s="101" t="s">
        <v>556</v>
      </c>
      <c r="H74" s="97" t="s">
        <v>81</v>
      </c>
      <c r="I74" s="98" t="s">
        <v>81</v>
      </c>
    </row>
    <row r="75" spans="1:9" ht="19.5" customHeight="1">
      <c r="A75" s="99" t="s">
        <v>726</v>
      </c>
      <c r="B75" s="100" t="s">
        <v>727</v>
      </c>
      <c r="C75" s="31" t="s">
        <v>83</v>
      </c>
      <c r="D75" s="97" t="s">
        <v>552</v>
      </c>
      <c r="E75" s="101" t="s">
        <v>722</v>
      </c>
      <c r="F75" s="97" t="s">
        <v>723</v>
      </c>
      <c r="G75" s="101" t="s">
        <v>556</v>
      </c>
      <c r="H75" s="97" t="s">
        <v>81</v>
      </c>
      <c r="I75" s="98" t="s">
        <v>81</v>
      </c>
    </row>
    <row r="76" spans="1:9" ht="19.5" customHeight="1">
      <c r="A76" s="99" t="s">
        <v>728</v>
      </c>
      <c r="B76" s="100" t="s">
        <v>729</v>
      </c>
      <c r="C76" s="31" t="s">
        <v>83</v>
      </c>
      <c r="D76" s="97" t="s">
        <v>537</v>
      </c>
      <c r="E76" s="101" t="s">
        <v>722</v>
      </c>
      <c r="F76" s="97" t="s">
        <v>723</v>
      </c>
      <c r="G76" s="101" t="s">
        <v>556</v>
      </c>
      <c r="H76" s="97" t="s">
        <v>81</v>
      </c>
      <c r="I76" s="98" t="s">
        <v>81</v>
      </c>
    </row>
    <row r="77" spans="1:9" ht="19.5" customHeight="1">
      <c r="A77" s="99" t="s">
        <v>730</v>
      </c>
      <c r="B77" s="100" t="s">
        <v>731</v>
      </c>
      <c r="C77" s="31" t="s">
        <v>83</v>
      </c>
      <c r="D77" s="97" t="s">
        <v>547</v>
      </c>
      <c r="E77" s="101" t="s">
        <v>722</v>
      </c>
      <c r="F77" s="97" t="s">
        <v>723</v>
      </c>
      <c r="G77" s="101" t="s">
        <v>556</v>
      </c>
      <c r="H77" s="97" t="s">
        <v>81</v>
      </c>
      <c r="I77" s="98" t="s">
        <v>81</v>
      </c>
    </row>
    <row r="78" spans="1:9" ht="19.5" customHeight="1">
      <c r="A78" s="99" t="s">
        <v>732</v>
      </c>
      <c r="B78" s="100" t="s">
        <v>733</v>
      </c>
      <c r="C78" s="31" t="s">
        <v>83</v>
      </c>
      <c r="D78" s="97" t="s">
        <v>552</v>
      </c>
      <c r="E78" s="101" t="s">
        <v>722</v>
      </c>
      <c r="F78" s="97" t="s">
        <v>723</v>
      </c>
      <c r="G78" s="101" t="s">
        <v>556</v>
      </c>
      <c r="H78" s="97" t="s">
        <v>81</v>
      </c>
      <c r="I78" s="98" t="s">
        <v>81</v>
      </c>
    </row>
    <row r="79" spans="1:9" ht="19.5" customHeight="1">
      <c r="A79" s="99" t="s">
        <v>734</v>
      </c>
      <c r="B79" s="100" t="s">
        <v>735</v>
      </c>
      <c r="C79" s="31" t="s">
        <v>83</v>
      </c>
      <c r="D79" s="97" t="s">
        <v>537</v>
      </c>
      <c r="E79" s="101" t="s">
        <v>722</v>
      </c>
      <c r="F79" s="97" t="s">
        <v>723</v>
      </c>
      <c r="G79" s="101" t="s">
        <v>556</v>
      </c>
      <c r="H79" s="97" t="s">
        <v>81</v>
      </c>
      <c r="I79" s="98" t="s">
        <v>81</v>
      </c>
    </row>
    <row r="80" spans="1:9" ht="19.5" customHeight="1">
      <c r="A80" s="99" t="s">
        <v>736</v>
      </c>
      <c r="B80" s="100" t="s">
        <v>737</v>
      </c>
      <c r="C80" s="31" t="s">
        <v>83</v>
      </c>
      <c r="D80" s="97" t="s">
        <v>547</v>
      </c>
      <c r="E80" s="101" t="s">
        <v>722</v>
      </c>
      <c r="F80" s="97" t="s">
        <v>723</v>
      </c>
      <c r="G80" s="101" t="s">
        <v>556</v>
      </c>
      <c r="H80" s="97" t="s">
        <v>81</v>
      </c>
      <c r="I80" s="98" t="s">
        <v>81</v>
      </c>
    </row>
    <row r="81" spans="1:9" ht="19.5" customHeight="1">
      <c r="A81" s="99" t="s">
        <v>738</v>
      </c>
      <c r="B81" s="100" t="s">
        <v>739</v>
      </c>
      <c r="C81" s="31" t="s">
        <v>83</v>
      </c>
      <c r="D81" s="97" t="s">
        <v>552</v>
      </c>
      <c r="E81" s="101" t="s">
        <v>722</v>
      </c>
      <c r="F81" s="97" t="s">
        <v>723</v>
      </c>
      <c r="G81" s="101" t="s">
        <v>556</v>
      </c>
      <c r="H81" s="97" t="s">
        <v>81</v>
      </c>
      <c r="I81" s="98" t="s">
        <v>81</v>
      </c>
    </row>
    <row r="82" spans="1:9" ht="19.5" customHeight="1">
      <c r="A82" s="99" t="s">
        <v>740</v>
      </c>
      <c r="B82" s="100" t="s">
        <v>741</v>
      </c>
      <c r="C82" s="31" t="s">
        <v>83</v>
      </c>
      <c r="D82" s="97" t="s">
        <v>537</v>
      </c>
      <c r="E82" s="101" t="s">
        <v>722</v>
      </c>
      <c r="F82" s="97" t="s">
        <v>723</v>
      </c>
      <c r="G82" s="101" t="s">
        <v>556</v>
      </c>
      <c r="H82" s="97" t="s">
        <v>81</v>
      </c>
      <c r="I82" s="98" t="s">
        <v>81</v>
      </c>
    </row>
    <row r="83" spans="1:9" ht="19.5" customHeight="1">
      <c r="A83" s="99" t="s">
        <v>742</v>
      </c>
      <c r="B83" s="100" t="s">
        <v>743</v>
      </c>
      <c r="C83" s="31" t="s">
        <v>83</v>
      </c>
      <c r="D83" s="97" t="s">
        <v>547</v>
      </c>
      <c r="E83" s="101" t="s">
        <v>722</v>
      </c>
      <c r="F83" s="97" t="s">
        <v>723</v>
      </c>
      <c r="G83" s="101" t="s">
        <v>556</v>
      </c>
      <c r="H83" s="97" t="s">
        <v>81</v>
      </c>
      <c r="I83" s="98" t="s">
        <v>81</v>
      </c>
    </row>
    <row r="84" spans="1:9" ht="19.5" customHeight="1">
      <c r="A84" s="99" t="s">
        <v>744</v>
      </c>
      <c r="B84" s="100" t="s">
        <v>745</v>
      </c>
      <c r="C84" s="31" t="s">
        <v>83</v>
      </c>
      <c r="D84" s="97" t="s">
        <v>552</v>
      </c>
      <c r="E84" s="101" t="s">
        <v>722</v>
      </c>
      <c r="F84" s="97" t="s">
        <v>723</v>
      </c>
      <c r="G84" s="101" t="s">
        <v>556</v>
      </c>
      <c r="H84" s="97" t="s">
        <v>81</v>
      </c>
      <c r="I84" s="98" t="s">
        <v>81</v>
      </c>
    </row>
    <row r="85" spans="1:9" ht="19.5" customHeight="1">
      <c r="A85" s="99" t="s">
        <v>746</v>
      </c>
      <c r="B85" s="100" t="s">
        <v>747</v>
      </c>
      <c r="C85" s="31" t="s">
        <v>83</v>
      </c>
      <c r="D85" s="97" t="s">
        <v>537</v>
      </c>
      <c r="E85" s="101" t="s">
        <v>722</v>
      </c>
      <c r="F85" s="97" t="s">
        <v>748</v>
      </c>
      <c r="G85" s="101" t="s">
        <v>749</v>
      </c>
      <c r="H85" s="97" t="s">
        <v>81</v>
      </c>
      <c r="I85" s="98" t="s">
        <v>81</v>
      </c>
    </row>
    <row r="86" spans="1:9" ht="19.5" customHeight="1">
      <c r="A86" s="99" t="s">
        <v>750</v>
      </c>
      <c r="B86" s="100" t="s">
        <v>751</v>
      </c>
      <c r="C86" s="31" t="s">
        <v>83</v>
      </c>
      <c r="D86" s="97" t="s">
        <v>547</v>
      </c>
      <c r="E86" s="101" t="s">
        <v>722</v>
      </c>
      <c r="F86" s="97" t="s">
        <v>748</v>
      </c>
      <c r="G86" s="101" t="s">
        <v>749</v>
      </c>
      <c r="H86" s="97" t="s">
        <v>81</v>
      </c>
      <c r="I86" s="98" t="s">
        <v>81</v>
      </c>
    </row>
    <row r="87" spans="1:9" ht="19.5" customHeight="1">
      <c r="A87" s="99" t="s">
        <v>752</v>
      </c>
      <c r="B87" s="100" t="s">
        <v>753</v>
      </c>
      <c r="C87" s="31" t="s">
        <v>83</v>
      </c>
      <c r="D87" s="97" t="s">
        <v>552</v>
      </c>
      <c r="E87" s="101" t="s">
        <v>722</v>
      </c>
      <c r="F87" s="97" t="s">
        <v>748</v>
      </c>
      <c r="G87" s="101" t="s">
        <v>749</v>
      </c>
      <c r="H87" s="97" t="s">
        <v>81</v>
      </c>
      <c r="I87" s="98" t="s">
        <v>81</v>
      </c>
    </row>
    <row r="88" spans="1:9" ht="19.5" customHeight="1">
      <c r="A88" s="99" t="s">
        <v>754</v>
      </c>
      <c r="B88" s="100" t="s">
        <v>755</v>
      </c>
      <c r="C88" s="31" t="s">
        <v>83</v>
      </c>
      <c r="D88" s="97" t="s">
        <v>537</v>
      </c>
      <c r="E88" s="101" t="s">
        <v>722</v>
      </c>
      <c r="F88" s="97" t="s">
        <v>748</v>
      </c>
      <c r="G88" s="101" t="s">
        <v>749</v>
      </c>
      <c r="H88" s="97" t="s">
        <v>81</v>
      </c>
      <c r="I88" s="98" t="s">
        <v>81</v>
      </c>
    </row>
    <row r="89" spans="1:9" ht="19.5" customHeight="1">
      <c r="A89" s="99" t="s">
        <v>756</v>
      </c>
      <c r="B89" s="100" t="s">
        <v>757</v>
      </c>
      <c r="C89" s="31" t="s">
        <v>83</v>
      </c>
      <c r="D89" s="97" t="s">
        <v>547</v>
      </c>
      <c r="E89" s="101" t="s">
        <v>722</v>
      </c>
      <c r="F89" s="97" t="s">
        <v>748</v>
      </c>
      <c r="G89" s="101" t="s">
        <v>749</v>
      </c>
      <c r="H89" s="97" t="s">
        <v>81</v>
      </c>
      <c r="I89" s="98" t="s">
        <v>81</v>
      </c>
    </row>
    <row r="90" spans="1:9" ht="19.5" customHeight="1">
      <c r="A90" s="99" t="s">
        <v>758</v>
      </c>
      <c r="B90" s="100" t="s">
        <v>759</v>
      </c>
      <c r="C90" s="31" t="s">
        <v>83</v>
      </c>
      <c r="D90" s="97" t="s">
        <v>552</v>
      </c>
      <c r="E90" s="101" t="s">
        <v>722</v>
      </c>
      <c r="F90" s="97" t="s">
        <v>748</v>
      </c>
      <c r="G90" s="101" t="s">
        <v>749</v>
      </c>
      <c r="H90" s="97" t="s">
        <v>81</v>
      </c>
      <c r="I90" s="98" t="s">
        <v>81</v>
      </c>
    </row>
    <row r="91" spans="1:9" ht="19.5" customHeight="1">
      <c r="A91" s="99" t="s">
        <v>760</v>
      </c>
      <c r="B91" s="100" t="s">
        <v>761</v>
      </c>
      <c r="C91" s="31" t="s">
        <v>83</v>
      </c>
      <c r="D91" s="97" t="s">
        <v>537</v>
      </c>
      <c r="E91" s="101" t="s">
        <v>722</v>
      </c>
      <c r="F91" s="97" t="s">
        <v>748</v>
      </c>
      <c r="G91" s="101" t="s">
        <v>749</v>
      </c>
      <c r="H91" s="97" t="s">
        <v>81</v>
      </c>
      <c r="I91" s="98" t="s">
        <v>81</v>
      </c>
    </row>
    <row r="92" spans="1:9" ht="19.5" customHeight="1">
      <c r="A92" s="99" t="s">
        <v>762</v>
      </c>
      <c r="B92" s="100" t="s">
        <v>763</v>
      </c>
      <c r="C92" s="31" t="s">
        <v>83</v>
      </c>
      <c r="D92" s="97" t="s">
        <v>547</v>
      </c>
      <c r="E92" s="101" t="s">
        <v>722</v>
      </c>
      <c r="F92" s="97" t="s">
        <v>748</v>
      </c>
      <c r="G92" s="101" t="s">
        <v>749</v>
      </c>
      <c r="H92" s="97" t="s">
        <v>81</v>
      </c>
      <c r="I92" s="98" t="s">
        <v>81</v>
      </c>
    </row>
    <row r="93" spans="1:9" ht="19.5" customHeight="1">
      <c r="A93" s="99" t="s">
        <v>764</v>
      </c>
      <c r="B93" s="100" t="s">
        <v>765</v>
      </c>
      <c r="C93" s="31" t="s">
        <v>83</v>
      </c>
      <c r="D93" s="97" t="s">
        <v>552</v>
      </c>
      <c r="E93" s="101" t="s">
        <v>722</v>
      </c>
      <c r="F93" s="97" t="s">
        <v>748</v>
      </c>
      <c r="G93" s="101" t="s">
        <v>749</v>
      </c>
      <c r="H93" s="97" t="s">
        <v>81</v>
      </c>
      <c r="I93" s="98" t="s">
        <v>81</v>
      </c>
    </row>
    <row r="94" spans="1:9" ht="19.5" customHeight="1">
      <c r="A94" s="99" t="s">
        <v>766</v>
      </c>
      <c r="B94" s="100" t="s">
        <v>767</v>
      </c>
      <c r="C94" s="31" t="s">
        <v>83</v>
      </c>
      <c r="D94" s="97" t="s">
        <v>537</v>
      </c>
      <c r="E94" s="101" t="s">
        <v>722</v>
      </c>
      <c r="F94" s="97" t="s">
        <v>748</v>
      </c>
      <c r="G94" s="101" t="s">
        <v>749</v>
      </c>
      <c r="H94" s="97" t="s">
        <v>81</v>
      </c>
      <c r="I94" s="98" t="s">
        <v>81</v>
      </c>
    </row>
    <row r="95" spans="1:9" ht="19.5" customHeight="1">
      <c r="A95" s="99" t="s">
        <v>768</v>
      </c>
      <c r="B95" s="100" t="s">
        <v>769</v>
      </c>
      <c r="C95" s="31" t="s">
        <v>83</v>
      </c>
      <c r="D95" s="97" t="s">
        <v>547</v>
      </c>
      <c r="E95" s="101" t="s">
        <v>722</v>
      </c>
      <c r="F95" s="97" t="s">
        <v>748</v>
      </c>
      <c r="G95" s="101" t="s">
        <v>749</v>
      </c>
      <c r="H95" s="97" t="s">
        <v>81</v>
      </c>
      <c r="I95" s="98" t="s">
        <v>81</v>
      </c>
    </row>
    <row r="96" spans="1:9" ht="19.5" customHeight="1">
      <c r="A96" s="99" t="s">
        <v>770</v>
      </c>
      <c r="B96" s="100" t="s">
        <v>771</v>
      </c>
      <c r="C96" s="31" t="s">
        <v>83</v>
      </c>
      <c r="D96" s="97" t="s">
        <v>552</v>
      </c>
      <c r="E96" s="101" t="s">
        <v>722</v>
      </c>
      <c r="F96" s="97" t="s">
        <v>748</v>
      </c>
      <c r="G96" s="101" t="s">
        <v>749</v>
      </c>
      <c r="H96" s="97" t="s">
        <v>81</v>
      </c>
      <c r="I96" s="98" t="s">
        <v>81</v>
      </c>
    </row>
    <row r="97" spans="1:9" ht="19.5" customHeight="1">
      <c r="A97" s="102" t="s">
        <v>772</v>
      </c>
      <c r="B97" s="103" t="s">
        <v>773</v>
      </c>
      <c r="C97" s="39" t="s">
        <v>87</v>
      </c>
      <c r="D97" s="97" t="s">
        <v>567</v>
      </c>
      <c r="E97" s="101" t="s">
        <v>774</v>
      </c>
      <c r="F97" s="97" t="s">
        <v>775</v>
      </c>
      <c r="G97" s="101" t="s">
        <v>586</v>
      </c>
      <c r="H97" s="97" t="s">
        <v>81</v>
      </c>
      <c r="I97" s="98" t="s">
        <v>81</v>
      </c>
    </row>
    <row r="98" spans="1:9" ht="19.5" customHeight="1">
      <c r="A98" s="102" t="s">
        <v>776</v>
      </c>
      <c r="B98" s="103" t="s">
        <v>777</v>
      </c>
      <c r="C98" s="39" t="s">
        <v>87</v>
      </c>
      <c r="D98" s="97" t="s">
        <v>577</v>
      </c>
      <c r="E98" s="101" t="s">
        <v>774</v>
      </c>
      <c r="F98" s="97" t="s">
        <v>775</v>
      </c>
      <c r="G98" s="101" t="s">
        <v>586</v>
      </c>
      <c r="H98" s="97" t="s">
        <v>81</v>
      </c>
      <c r="I98" s="98" t="s">
        <v>81</v>
      </c>
    </row>
    <row r="99" spans="1:9" ht="19.5" customHeight="1">
      <c r="A99" s="102" t="s">
        <v>778</v>
      </c>
      <c r="B99" s="103" t="s">
        <v>779</v>
      </c>
      <c r="C99" s="39" t="s">
        <v>87</v>
      </c>
      <c r="D99" s="97" t="s">
        <v>582</v>
      </c>
      <c r="E99" s="101" t="s">
        <v>774</v>
      </c>
      <c r="F99" s="97" t="s">
        <v>775</v>
      </c>
      <c r="G99" s="101" t="s">
        <v>586</v>
      </c>
      <c r="H99" s="97" t="s">
        <v>81</v>
      </c>
      <c r="I99" s="98" t="s">
        <v>81</v>
      </c>
    </row>
    <row r="100" spans="1:9" ht="19.5" customHeight="1">
      <c r="A100" s="102" t="s">
        <v>780</v>
      </c>
      <c r="B100" s="103" t="s">
        <v>781</v>
      </c>
      <c r="C100" s="39" t="s">
        <v>87</v>
      </c>
      <c r="D100" s="97" t="s">
        <v>567</v>
      </c>
      <c r="E100" s="101" t="s">
        <v>774</v>
      </c>
      <c r="F100" s="97" t="s">
        <v>775</v>
      </c>
      <c r="G100" s="101" t="s">
        <v>586</v>
      </c>
      <c r="H100" s="97" t="s">
        <v>81</v>
      </c>
      <c r="I100" s="98" t="s">
        <v>81</v>
      </c>
    </row>
    <row r="101" spans="1:9" ht="19.5" customHeight="1">
      <c r="A101" s="102" t="s">
        <v>782</v>
      </c>
      <c r="B101" s="103" t="s">
        <v>783</v>
      </c>
      <c r="C101" s="39" t="s">
        <v>87</v>
      </c>
      <c r="D101" s="97" t="s">
        <v>577</v>
      </c>
      <c r="E101" s="101" t="s">
        <v>774</v>
      </c>
      <c r="F101" s="97" t="s">
        <v>775</v>
      </c>
      <c r="G101" s="101" t="s">
        <v>586</v>
      </c>
      <c r="H101" s="97" t="s">
        <v>81</v>
      </c>
      <c r="I101" s="98" t="s">
        <v>81</v>
      </c>
    </row>
    <row r="102" spans="1:9" ht="19.5" customHeight="1">
      <c r="A102" s="102" t="s">
        <v>784</v>
      </c>
      <c r="B102" s="103" t="s">
        <v>785</v>
      </c>
      <c r="C102" s="39" t="s">
        <v>87</v>
      </c>
      <c r="D102" s="97" t="s">
        <v>582</v>
      </c>
      <c r="E102" s="101" t="s">
        <v>774</v>
      </c>
      <c r="F102" s="97" t="s">
        <v>775</v>
      </c>
      <c r="G102" s="101" t="s">
        <v>586</v>
      </c>
      <c r="H102" s="97" t="s">
        <v>81</v>
      </c>
      <c r="I102" s="98" t="s">
        <v>81</v>
      </c>
    </row>
    <row r="103" spans="1:9" ht="19.5" customHeight="1">
      <c r="A103" s="102" t="s">
        <v>786</v>
      </c>
      <c r="B103" s="103" t="s">
        <v>787</v>
      </c>
      <c r="C103" s="39" t="s">
        <v>87</v>
      </c>
      <c r="D103" s="97" t="s">
        <v>567</v>
      </c>
      <c r="E103" s="101" t="s">
        <v>774</v>
      </c>
      <c r="F103" s="97" t="s">
        <v>775</v>
      </c>
      <c r="G103" s="101" t="s">
        <v>586</v>
      </c>
      <c r="H103" s="97" t="s">
        <v>81</v>
      </c>
      <c r="I103" s="98" t="s">
        <v>81</v>
      </c>
    </row>
    <row r="104" spans="1:9" ht="19.5" customHeight="1">
      <c r="A104" s="102" t="s">
        <v>788</v>
      </c>
      <c r="B104" s="103" t="s">
        <v>789</v>
      </c>
      <c r="C104" s="39" t="s">
        <v>87</v>
      </c>
      <c r="D104" s="97" t="s">
        <v>577</v>
      </c>
      <c r="E104" s="101" t="s">
        <v>774</v>
      </c>
      <c r="F104" s="97" t="s">
        <v>775</v>
      </c>
      <c r="G104" s="101" t="s">
        <v>586</v>
      </c>
      <c r="H104" s="97" t="s">
        <v>81</v>
      </c>
      <c r="I104" s="98" t="s">
        <v>81</v>
      </c>
    </row>
    <row r="105" spans="1:9" ht="19.5" customHeight="1">
      <c r="A105" s="102" t="s">
        <v>790</v>
      </c>
      <c r="B105" s="103" t="s">
        <v>791</v>
      </c>
      <c r="C105" s="39" t="s">
        <v>87</v>
      </c>
      <c r="D105" s="97" t="s">
        <v>582</v>
      </c>
      <c r="E105" s="101" t="s">
        <v>774</v>
      </c>
      <c r="F105" s="97" t="s">
        <v>775</v>
      </c>
      <c r="G105" s="101" t="s">
        <v>586</v>
      </c>
      <c r="H105" s="97" t="s">
        <v>81</v>
      </c>
      <c r="I105" s="98" t="s">
        <v>81</v>
      </c>
    </row>
    <row r="106" spans="1:9" ht="19.5" customHeight="1">
      <c r="A106" s="102" t="s">
        <v>792</v>
      </c>
      <c r="B106" s="103" t="s">
        <v>793</v>
      </c>
      <c r="C106" s="39" t="s">
        <v>87</v>
      </c>
      <c r="D106" s="97" t="s">
        <v>567</v>
      </c>
      <c r="E106" s="101" t="s">
        <v>774</v>
      </c>
      <c r="F106" s="97" t="s">
        <v>775</v>
      </c>
      <c r="G106" s="101" t="s">
        <v>586</v>
      </c>
      <c r="H106" s="97" t="s">
        <v>81</v>
      </c>
      <c r="I106" s="98" t="s">
        <v>81</v>
      </c>
    </row>
    <row r="107" spans="1:9" ht="19.5" customHeight="1">
      <c r="A107" s="102" t="s">
        <v>794</v>
      </c>
      <c r="B107" s="103" t="s">
        <v>795</v>
      </c>
      <c r="C107" s="39" t="s">
        <v>87</v>
      </c>
      <c r="D107" s="97" t="s">
        <v>577</v>
      </c>
      <c r="E107" s="101" t="s">
        <v>774</v>
      </c>
      <c r="F107" s="97" t="s">
        <v>775</v>
      </c>
      <c r="G107" s="101" t="s">
        <v>586</v>
      </c>
      <c r="H107" s="97" t="s">
        <v>81</v>
      </c>
      <c r="I107" s="98" t="s">
        <v>81</v>
      </c>
    </row>
    <row r="108" spans="1:9" ht="19.5" customHeight="1">
      <c r="A108" s="102" t="s">
        <v>796</v>
      </c>
      <c r="B108" s="103" t="s">
        <v>797</v>
      </c>
      <c r="C108" s="39" t="s">
        <v>87</v>
      </c>
      <c r="D108" s="97" t="s">
        <v>582</v>
      </c>
      <c r="E108" s="101" t="s">
        <v>774</v>
      </c>
      <c r="F108" s="97" t="s">
        <v>775</v>
      </c>
      <c r="G108" s="101" t="s">
        <v>586</v>
      </c>
      <c r="H108" s="97" t="s">
        <v>81</v>
      </c>
      <c r="I108" s="98" t="s">
        <v>81</v>
      </c>
    </row>
    <row r="109" spans="1:9" ht="19.5" customHeight="1">
      <c r="A109" s="102" t="s">
        <v>798</v>
      </c>
      <c r="B109" s="103" t="s">
        <v>799</v>
      </c>
      <c r="C109" s="39" t="s">
        <v>87</v>
      </c>
      <c r="D109" s="97" t="s">
        <v>567</v>
      </c>
      <c r="E109" s="101" t="s">
        <v>774</v>
      </c>
      <c r="F109" s="97" t="s">
        <v>800</v>
      </c>
      <c r="G109" s="101" t="s">
        <v>801</v>
      </c>
      <c r="H109" s="97" t="s">
        <v>81</v>
      </c>
      <c r="I109" s="98" t="s">
        <v>81</v>
      </c>
    </row>
    <row r="110" spans="1:9" ht="19.5" customHeight="1">
      <c r="A110" s="102" t="s">
        <v>802</v>
      </c>
      <c r="B110" s="103" t="s">
        <v>803</v>
      </c>
      <c r="C110" s="39" t="s">
        <v>87</v>
      </c>
      <c r="D110" s="97" t="s">
        <v>577</v>
      </c>
      <c r="E110" s="101" t="s">
        <v>774</v>
      </c>
      <c r="F110" s="97" t="s">
        <v>800</v>
      </c>
      <c r="G110" s="101" t="s">
        <v>801</v>
      </c>
      <c r="H110" s="97" t="s">
        <v>81</v>
      </c>
      <c r="I110" s="98" t="s">
        <v>81</v>
      </c>
    </row>
    <row r="111" spans="1:9" ht="19.5" customHeight="1">
      <c r="A111" s="102" t="s">
        <v>804</v>
      </c>
      <c r="B111" s="103" t="s">
        <v>805</v>
      </c>
      <c r="C111" s="39" t="s">
        <v>87</v>
      </c>
      <c r="D111" s="97" t="s">
        <v>582</v>
      </c>
      <c r="E111" s="101" t="s">
        <v>774</v>
      </c>
      <c r="F111" s="97" t="s">
        <v>800</v>
      </c>
      <c r="G111" s="101" t="s">
        <v>801</v>
      </c>
      <c r="H111" s="97" t="s">
        <v>81</v>
      </c>
      <c r="I111" s="98" t="s">
        <v>81</v>
      </c>
    </row>
    <row r="112" spans="1:9" ht="19.5" customHeight="1">
      <c r="A112" s="102" t="s">
        <v>806</v>
      </c>
      <c r="B112" s="103" t="s">
        <v>807</v>
      </c>
      <c r="C112" s="39" t="s">
        <v>87</v>
      </c>
      <c r="D112" s="97" t="s">
        <v>567</v>
      </c>
      <c r="E112" s="101" t="s">
        <v>774</v>
      </c>
      <c r="F112" s="97" t="s">
        <v>800</v>
      </c>
      <c r="G112" s="101" t="s">
        <v>801</v>
      </c>
      <c r="H112" s="97" t="s">
        <v>81</v>
      </c>
      <c r="I112" s="98" t="s">
        <v>81</v>
      </c>
    </row>
    <row r="113" spans="1:9" ht="19.5" customHeight="1">
      <c r="A113" s="102" t="s">
        <v>808</v>
      </c>
      <c r="B113" s="103" t="s">
        <v>809</v>
      </c>
      <c r="C113" s="39" t="s">
        <v>87</v>
      </c>
      <c r="D113" s="97" t="s">
        <v>577</v>
      </c>
      <c r="E113" s="101" t="s">
        <v>774</v>
      </c>
      <c r="F113" s="97" t="s">
        <v>800</v>
      </c>
      <c r="G113" s="101" t="s">
        <v>801</v>
      </c>
      <c r="H113" s="97" t="s">
        <v>81</v>
      </c>
      <c r="I113" s="98" t="s">
        <v>81</v>
      </c>
    </row>
    <row r="114" spans="1:9" ht="19.5" customHeight="1">
      <c r="A114" s="102" t="s">
        <v>810</v>
      </c>
      <c r="B114" s="103" t="s">
        <v>811</v>
      </c>
      <c r="C114" s="39" t="s">
        <v>87</v>
      </c>
      <c r="D114" s="97" t="s">
        <v>582</v>
      </c>
      <c r="E114" s="101" t="s">
        <v>774</v>
      </c>
      <c r="F114" s="97" t="s">
        <v>800</v>
      </c>
      <c r="G114" s="101" t="s">
        <v>801</v>
      </c>
      <c r="H114" s="97" t="s">
        <v>81</v>
      </c>
      <c r="I114" s="98" t="s">
        <v>81</v>
      </c>
    </row>
    <row r="115" spans="1:9" ht="19.5" customHeight="1">
      <c r="A115" s="102" t="s">
        <v>812</v>
      </c>
      <c r="B115" s="103" t="s">
        <v>813</v>
      </c>
      <c r="C115" s="39" t="s">
        <v>87</v>
      </c>
      <c r="D115" s="97" t="s">
        <v>567</v>
      </c>
      <c r="E115" s="101" t="s">
        <v>774</v>
      </c>
      <c r="F115" s="97" t="s">
        <v>800</v>
      </c>
      <c r="G115" s="101" t="s">
        <v>801</v>
      </c>
      <c r="H115" s="97" t="s">
        <v>81</v>
      </c>
      <c r="I115" s="98" t="s">
        <v>81</v>
      </c>
    </row>
    <row r="116" spans="1:9" ht="19.5" customHeight="1">
      <c r="A116" s="102" t="s">
        <v>814</v>
      </c>
      <c r="B116" s="103" t="s">
        <v>815</v>
      </c>
      <c r="C116" s="39" t="s">
        <v>87</v>
      </c>
      <c r="D116" s="97" t="s">
        <v>577</v>
      </c>
      <c r="E116" s="101" t="s">
        <v>774</v>
      </c>
      <c r="F116" s="97" t="s">
        <v>800</v>
      </c>
      <c r="G116" s="101" t="s">
        <v>801</v>
      </c>
      <c r="H116" s="97" t="s">
        <v>81</v>
      </c>
      <c r="I116" s="98" t="s">
        <v>81</v>
      </c>
    </row>
    <row r="117" spans="1:9" ht="19.5" customHeight="1">
      <c r="A117" s="102" t="s">
        <v>816</v>
      </c>
      <c r="B117" s="103" t="s">
        <v>817</v>
      </c>
      <c r="C117" s="39" t="s">
        <v>87</v>
      </c>
      <c r="D117" s="97" t="s">
        <v>582</v>
      </c>
      <c r="E117" s="101" t="s">
        <v>774</v>
      </c>
      <c r="F117" s="97" t="s">
        <v>800</v>
      </c>
      <c r="G117" s="101" t="s">
        <v>801</v>
      </c>
      <c r="H117" s="97" t="s">
        <v>81</v>
      </c>
      <c r="I117" s="98" t="s">
        <v>81</v>
      </c>
    </row>
    <row r="118" spans="1:9" ht="19.5" customHeight="1">
      <c r="A118" s="102" t="s">
        <v>818</v>
      </c>
      <c r="B118" s="103" t="s">
        <v>819</v>
      </c>
      <c r="C118" s="39" t="s">
        <v>87</v>
      </c>
      <c r="D118" s="97" t="s">
        <v>567</v>
      </c>
      <c r="E118" s="101" t="s">
        <v>774</v>
      </c>
      <c r="F118" s="97" t="s">
        <v>800</v>
      </c>
      <c r="G118" s="101" t="s">
        <v>801</v>
      </c>
      <c r="H118" s="97" t="s">
        <v>81</v>
      </c>
      <c r="I118" s="98" t="s">
        <v>81</v>
      </c>
    </row>
    <row r="119" spans="1:9" ht="19.5" customHeight="1">
      <c r="A119" s="102" t="s">
        <v>820</v>
      </c>
      <c r="B119" s="103" t="s">
        <v>821</v>
      </c>
      <c r="C119" s="39" t="s">
        <v>87</v>
      </c>
      <c r="D119" s="97" t="s">
        <v>577</v>
      </c>
      <c r="E119" s="101" t="s">
        <v>774</v>
      </c>
      <c r="F119" s="97" t="s">
        <v>800</v>
      </c>
      <c r="G119" s="101" t="s">
        <v>801</v>
      </c>
      <c r="H119" s="97" t="s">
        <v>81</v>
      </c>
      <c r="I119" s="98" t="s">
        <v>81</v>
      </c>
    </row>
    <row r="120" spans="1:9" ht="19.5" customHeight="1">
      <c r="A120" s="102" t="s">
        <v>822</v>
      </c>
      <c r="B120" s="103" t="s">
        <v>823</v>
      </c>
      <c r="C120" s="39" t="s">
        <v>87</v>
      </c>
      <c r="D120" s="97" t="s">
        <v>582</v>
      </c>
      <c r="E120" s="101" t="s">
        <v>774</v>
      </c>
      <c r="F120" s="97" t="s">
        <v>800</v>
      </c>
      <c r="G120" s="101" t="s">
        <v>801</v>
      </c>
      <c r="H120" s="97" t="s">
        <v>81</v>
      </c>
      <c r="I120" s="98" t="s">
        <v>81</v>
      </c>
    </row>
    <row r="121" spans="1:9" ht="19.5" customHeight="1">
      <c r="A121" s="104" t="s">
        <v>824</v>
      </c>
      <c r="B121" s="105" t="s">
        <v>825</v>
      </c>
      <c r="C121" s="106" t="s">
        <v>91</v>
      </c>
      <c r="D121" s="97" t="s">
        <v>597</v>
      </c>
      <c r="E121" s="101" t="s">
        <v>826</v>
      </c>
      <c r="F121" s="97" t="s">
        <v>827</v>
      </c>
      <c r="G121" s="101" t="s">
        <v>602</v>
      </c>
      <c r="H121" s="97" t="s">
        <v>81</v>
      </c>
      <c r="I121" s="98" t="s">
        <v>81</v>
      </c>
    </row>
    <row r="122" spans="1:9" ht="19.5" customHeight="1">
      <c r="A122" s="104" t="s">
        <v>828</v>
      </c>
      <c r="B122" s="105" t="s">
        <v>829</v>
      </c>
      <c r="C122" s="106" t="s">
        <v>91</v>
      </c>
      <c r="D122" s="97" t="s">
        <v>612</v>
      </c>
      <c r="E122" s="101" t="s">
        <v>826</v>
      </c>
      <c r="F122" s="97" t="s">
        <v>827</v>
      </c>
      <c r="G122" s="101" t="s">
        <v>602</v>
      </c>
      <c r="H122" s="97" t="s">
        <v>81</v>
      </c>
      <c r="I122" s="98" t="s">
        <v>81</v>
      </c>
    </row>
    <row r="123" spans="1:9" ht="19.5" customHeight="1">
      <c r="A123" s="104" t="s">
        <v>830</v>
      </c>
      <c r="B123" s="105" t="s">
        <v>831</v>
      </c>
      <c r="C123" s="106" t="s">
        <v>91</v>
      </c>
      <c r="D123" s="97" t="s">
        <v>612</v>
      </c>
      <c r="E123" s="101" t="s">
        <v>826</v>
      </c>
      <c r="F123" s="97" t="s">
        <v>827</v>
      </c>
      <c r="G123" s="101" t="s">
        <v>602</v>
      </c>
      <c r="H123" s="97" t="s">
        <v>81</v>
      </c>
      <c r="I123" s="98" t="s">
        <v>81</v>
      </c>
    </row>
    <row r="124" spans="1:9" ht="19.5" customHeight="1">
      <c r="A124" s="104" t="s">
        <v>832</v>
      </c>
      <c r="B124" s="105" t="s">
        <v>833</v>
      </c>
      <c r="C124" s="106" t="s">
        <v>91</v>
      </c>
      <c r="D124" s="97" t="s">
        <v>597</v>
      </c>
      <c r="E124" s="101" t="s">
        <v>826</v>
      </c>
      <c r="F124" s="97" t="s">
        <v>827</v>
      </c>
      <c r="G124" s="101" t="s">
        <v>602</v>
      </c>
      <c r="H124" s="97" t="s">
        <v>81</v>
      </c>
      <c r="I124" s="98" t="s">
        <v>81</v>
      </c>
    </row>
    <row r="125" spans="1:9" ht="19.5" customHeight="1">
      <c r="A125" s="104" t="s">
        <v>834</v>
      </c>
      <c r="B125" s="105" t="s">
        <v>835</v>
      </c>
      <c r="C125" s="106" t="s">
        <v>91</v>
      </c>
      <c r="D125" s="97" t="s">
        <v>612</v>
      </c>
      <c r="E125" s="101" t="s">
        <v>826</v>
      </c>
      <c r="F125" s="97" t="s">
        <v>827</v>
      </c>
      <c r="G125" s="101" t="s">
        <v>602</v>
      </c>
      <c r="H125" s="97" t="s">
        <v>81</v>
      </c>
      <c r="I125" s="98" t="s">
        <v>81</v>
      </c>
    </row>
    <row r="126" spans="1:9" ht="19.5" customHeight="1">
      <c r="A126" s="104" t="s">
        <v>836</v>
      </c>
      <c r="B126" s="105" t="s">
        <v>837</v>
      </c>
      <c r="C126" s="106" t="s">
        <v>91</v>
      </c>
      <c r="D126" s="97" t="s">
        <v>612</v>
      </c>
      <c r="E126" s="101" t="s">
        <v>826</v>
      </c>
      <c r="F126" s="97" t="s">
        <v>827</v>
      </c>
      <c r="G126" s="101" t="s">
        <v>602</v>
      </c>
      <c r="H126" s="97" t="s">
        <v>81</v>
      </c>
      <c r="I126" s="98" t="s">
        <v>81</v>
      </c>
    </row>
    <row r="127" spans="1:9" ht="19.5" customHeight="1">
      <c r="A127" s="104" t="s">
        <v>838</v>
      </c>
      <c r="B127" s="105" t="s">
        <v>839</v>
      </c>
      <c r="C127" s="106" t="s">
        <v>91</v>
      </c>
      <c r="D127" s="97" t="s">
        <v>597</v>
      </c>
      <c r="E127" s="101" t="s">
        <v>826</v>
      </c>
      <c r="F127" s="97" t="s">
        <v>827</v>
      </c>
      <c r="G127" s="101" t="s">
        <v>602</v>
      </c>
      <c r="H127" s="97" t="s">
        <v>81</v>
      </c>
      <c r="I127" s="98" t="s">
        <v>81</v>
      </c>
    </row>
    <row r="128" spans="1:9" ht="19.5" customHeight="1">
      <c r="A128" s="104" t="s">
        <v>840</v>
      </c>
      <c r="B128" s="105" t="s">
        <v>841</v>
      </c>
      <c r="C128" s="106" t="s">
        <v>91</v>
      </c>
      <c r="D128" s="97" t="s">
        <v>612</v>
      </c>
      <c r="E128" s="101" t="s">
        <v>826</v>
      </c>
      <c r="F128" s="97" t="s">
        <v>827</v>
      </c>
      <c r="G128" s="101" t="s">
        <v>602</v>
      </c>
      <c r="H128" s="97" t="s">
        <v>81</v>
      </c>
      <c r="I128" s="98" t="s">
        <v>81</v>
      </c>
    </row>
    <row r="129" spans="1:9" ht="19.5" customHeight="1">
      <c r="A129" s="104" t="s">
        <v>842</v>
      </c>
      <c r="B129" s="105" t="s">
        <v>843</v>
      </c>
      <c r="C129" s="106" t="s">
        <v>91</v>
      </c>
      <c r="D129" s="97" t="s">
        <v>612</v>
      </c>
      <c r="E129" s="101" t="s">
        <v>826</v>
      </c>
      <c r="F129" s="97" t="s">
        <v>827</v>
      </c>
      <c r="G129" s="101" t="s">
        <v>602</v>
      </c>
      <c r="H129" s="97" t="s">
        <v>81</v>
      </c>
      <c r="I129" s="98" t="s">
        <v>81</v>
      </c>
    </row>
    <row r="130" spans="1:9" ht="19.5" customHeight="1">
      <c r="A130" s="88" t="s">
        <v>844</v>
      </c>
      <c r="B130" s="107" t="s">
        <v>845</v>
      </c>
      <c r="C130" s="108" t="s">
        <v>95</v>
      </c>
      <c r="D130" s="97" t="s">
        <v>615</v>
      </c>
      <c r="E130" s="101" t="s">
        <v>846</v>
      </c>
      <c r="F130" s="97" t="s">
        <v>847</v>
      </c>
      <c r="G130" s="101" t="s">
        <v>620</v>
      </c>
      <c r="H130" s="97" t="s">
        <v>81</v>
      </c>
      <c r="I130" s="98" t="s">
        <v>81</v>
      </c>
    </row>
    <row r="131" spans="1:9" ht="19.5" customHeight="1">
      <c r="A131" s="88" t="s">
        <v>848</v>
      </c>
      <c r="B131" s="107" t="s">
        <v>849</v>
      </c>
      <c r="C131" s="108" t="s">
        <v>95</v>
      </c>
      <c r="D131" s="97" t="s">
        <v>630</v>
      </c>
      <c r="E131" s="101" t="s">
        <v>846</v>
      </c>
      <c r="F131" s="97" t="s">
        <v>847</v>
      </c>
      <c r="G131" s="101" t="s">
        <v>620</v>
      </c>
      <c r="H131" s="97" t="s">
        <v>81</v>
      </c>
      <c r="I131" s="98" t="s">
        <v>81</v>
      </c>
    </row>
    <row r="132" spans="1:9" ht="19.5" customHeight="1">
      <c r="A132" s="88" t="s">
        <v>850</v>
      </c>
      <c r="B132" s="107" t="s">
        <v>851</v>
      </c>
      <c r="C132" s="108" t="s">
        <v>95</v>
      </c>
      <c r="D132" s="97" t="s">
        <v>630</v>
      </c>
      <c r="E132" s="101" t="s">
        <v>846</v>
      </c>
      <c r="F132" s="97" t="s">
        <v>847</v>
      </c>
      <c r="G132" s="101" t="s">
        <v>620</v>
      </c>
      <c r="H132" s="97" t="s">
        <v>81</v>
      </c>
      <c r="I132" s="98" t="s">
        <v>81</v>
      </c>
    </row>
    <row r="133" spans="1:9" ht="19.5" customHeight="1">
      <c r="A133" s="88" t="s">
        <v>852</v>
      </c>
      <c r="B133" s="107" t="s">
        <v>853</v>
      </c>
      <c r="C133" s="108" t="s">
        <v>95</v>
      </c>
      <c r="D133" s="97" t="s">
        <v>615</v>
      </c>
      <c r="E133" s="101" t="s">
        <v>846</v>
      </c>
      <c r="F133" s="97" t="s">
        <v>847</v>
      </c>
      <c r="G133" s="101" t="s">
        <v>620</v>
      </c>
      <c r="H133" s="97" t="s">
        <v>81</v>
      </c>
      <c r="I133" s="98" t="s">
        <v>81</v>
      </c>
    </row>
    <row r="134" spans="1:9" ht="19.5" customHeight="1">
      <c r="A134" s="88" t="s">
        <v>854</v>
      </c>
      <c r="B134" s="107" t="s">
        <v>855</v>
      </c>
      <c r="C134" s="108" t="s">
        <v>95</v>
      </c>
      <c r="D134" s="97" t="s">
        <v>630</v>
      </c>
      <c r="E134" s="101" t="s">
        <v>846</v>
      </c>
      <c r="F134" s="97" t="s">
        <v>847</v>
      </c>
      <c r="G134" s="101" t="s">
        <v>620</v>
      </c>
      <c r="H134" s="97" t="s">
        <v>81</v>
      </c>
      <c r="I134" s="98" t="s">
        <v>81</v>
      </c>
    </row>
    <row r="135" spans="1:9" ht="19.5" customHeight="1">
      <c r="A135" s="88" t="s">
        <v>856</v>
      </c>
      <c r="B135" s="107" t="s">
        <v>857</v>
      </c>
      <c r="C135" s="108" t="s">
        <v>95</v>
      </c>
      <c r="D135" s="97" t="s">
        <v>630</v>
      </c>
      <c r="E135" s="101" t="s">
        <v>846</v>
      </c>
      <c r="F135" s="97" t="s">
        <v>847</v>
      </c>
      <c r="G135" s="101" t="s">
        <v>620</v>
      </c>
      <c r="H135" s="97" t="s">
        <v>81</v>
      </c>
      <c r="I135" s="98" t="s">
        <v>81</v>
      </c>
    </row>
    <row r="136" spans="1:9" ht="19.5" customHeight="1">
      <c r="A136" s="88" t="s">
        <v>858</v>
      </c>
      <c r="B136" s="107" t="s">
        <v>859</v>
      </c>
      <c r="C136" s="108" t="s">
        <v>95</v>
      </c>
      <c r="D136" s="97" t="s">
        <v>615</v>
      </c>
      <c r="E136" s="101" t="s">
        <v>846</v>
      </c>
      <c r="F136" s="97" t="s">
        <v>847</v>
      </c>
      <c r="G136" s="101" t="s">
        <v>620</v>
      </c>
      <c r="H136" s="97" t="s">
        <v>81</v>
      </c>
      <c r="I136" s="98" t="s">
        <v>81</v>
      </c>
    </row>
    <row r="137" spans="1:9" ht="19.5" customHeight="1">
      <c r="A137" s="88" t="s">
        <v>860</v>
      </c>
      <c r="B137" s="107" t="s">
        <v>861</v>
      </c>
      <c r="C137" s="108" t="s">
        <v>95</v>
      </c>
      <c r="D137" s="97" t="s">
        <v>630</v>
      </c>
      <c r="E137" s="101" t="s">
        <v>846</v>
      </c>
      <c r="F137" s="97" t="s">
        <v>847</v>
      </c>
      <c r="G137" s="101" t="s">
        <v>620</v>
      </c>
      <c r="H137" s="97" t="s">
        <v>81</v>
      </c>
      <c r="I137" s="98" t="s">
        <v>81</v>
      </c>
    </row>
    <row r="138" spans="1:9" ht="19.5" customHeight="1">
      <c r="A138" s="88" t="s">
        <v>862</v>
      </c>
      <c r="B138" s="107" t="s">
        <v>863</v>
      </c>
      <c r="C138" s="108" t="s">
        <v>95</v>
      </c>
      <c r="D138" s="97" t="s">
        <v>630</v>
      </c>
      <c r="E138" s="101" t="s">
        <v>846</v>
      </c>
      <c r="F138" s="97" t="s">
        <v>847</v>
      </c>
      <c r="G138" s="101" t="s">
        <v>620</v>
      </c>
      <c r="H138" s="97" t="s">
        <v>81</v>
      </c>
      <c r="I138" s="98" t="s">
        <v>81</v>
      </c>
    </row>
    <row r="139" spans="1:9" ht="19.5" customHeight="1">
      <c r="A139" s="92" t="s">
        <v>864</v>
      </c>
      <c r="B139" s="109" t="s">
        <v>865</v>
      </c>
      <c r="C139" s="110" t="s">
        <v>99</v>
      </c>
      <c r="D139" s="97" t="s">
        <v>633</v>
      </c>
      <c r="E139" s="101" t="s">
        <v>866</v>
      </c>
      <c r="F139" s="97" t="s">
        <v>867</v>
      </c>
      <c r="G139" s="101" t="s">
        <v>638</v>
      </c>
      <c r="H139" s="97" t="s">
        <v>81</v>
      </c>
      <c r="I139" s="98" t="s">
        <v>81</v>
      </c>
    </row>
    <row r="140" spans="1:9" ht="19.5" customHeight="1">
      <c r="A140" s="92" t="s">
        <v>868</v>
      </c>
      <c r="B140" s="109" t="s">
        <v>869</v>
      </c>
      <c r="C140" s="110" t="s">
        <v>99</v>
      </c>
      <c r="D140" s="97" t="s">
        <v>648</v>
      </c>
      <c r="E140" s="101" t="s">
        <v>866</v>
      </c>
      <c r="F140" s="97" t="s">
        <v>867</v>
      </c>
      <c r="G140" s="101" t="s">
        <v>638</v>
      </c>
      <c r="H140" s="97" t="s">
        <v>81</v>
      </c>
      <c r="I140" s="98" t="s">
        <v>81</v>
      </c>
    </row>
    <row r="141" spans="1:9" ht="19.5" customHeight="1">
      <c r="A141" s="92" t="s">
        <v>870</v>
      </c>
      <c r="B141" s="109" t="s">
        <v>871</v>
      </c>
      <c r="C141" s="110" t="s">
        <v>99</v>
      </c>
      <c r="D141" s="97" t="s">
        <v>648</v>
      </c>
      <c r="E141" s="101" t="s">
        <v>866</v>
      </c>
      <c r="F141" s="97" t="s">
        <v>867</v>
      </c>
      <c r="G141" s="101" t="s">
        <v>638</v>
      </c>
      <c r="H141" s="97" t="s">
        <v>81</v>
      </c>
      <c r="I141" s="98" t="s">
        <v>81</v>
      </c>
    </row>
    <row r="142" spans="1:9" ht="19.5" customHeight="1">
      <c r="A142" s="92" t="s">
        <v>872</v>
      </c>
      <c r="B142" s="109" t="s">
        <v>873</v>
      </c>
      <c r="C142" s="110" t="s">
        <v>99</v>
      </c>
      <c r="D142" s="97" t="s">
        <v>633</v>
      </c>
      <c r="E142" s="101" t="s">
        <v>866</v>
      </c>
      <c r="F142" s="97" t="s">
        <v>867</v>
      </c>
      <c r="G142" s="101" t="s">
        <v>638</v>
      </c>
      <c r="H142" s="97" t="s">
        <v>81</v>
      </c>
      <c r="I142" s="98" t="s">
        <v>81</v>
      </c>
    </row>
    <row r="143" spans="1:9" ht="19.5" customHeight="1">
      <c r="A143" s="92" t="s">
        <v>874</v>
      </c>
      <c r="B143" s="109" t="s">
        <v>875</v>
      </c>
      <c r="C143" s="110" t="s">
        <v>99</v>
      </c>
      <c r="D143" s="97" t="s">
        <v>648</v>
      </c>
      <c r="E143" s="101" t="s">
        <v>866</v>
      </c>
      <c r="F143" s="97" t="s">
        <v>867</v>
      </c>
      <c r="G143" s="101" t="s">
        <v>638</v>
      </c>
      <c r="H143" s="97" t="s">
        <v>81</v>
      </c>
      <c r="I143" s="98" t="s">
        <v>81</v>
      </c>
    </row>
    <row r="144" spans="1:9" ht="19.5" customHeight="1">
      <c r="A144" s="92" t="s">
        <v>876</v>
      </c>
      <c r="B144" s="109" t="s">
        <v>877</v>
      </c>
      <c r="C144" s="110" t="s">
        <v>99</v>
      </c>
      <c r="D144" s="97" t="s">
        <v>648</v>
      </c>
      <c r="E144" s="101" t="s">
        <v>866</v>
      </c>
      <c r="F144" s="97" t="s">
        <v>867</v>
      </c>
      <c r="G144" s="101" t="s">
        <v>638</v>
      </c>
      <c r="H144" s="97" t="s">
        <v>81</v>
      </c>
      <c r="I144" s="98" t="s">
        <v>81</v>
      </c>
    </row>
    <row r="145" spans="1:9" ht="19.5" customHeight="1">
      <c r="A145" s="92" t="s">
        <v>878</v>
      </c>
      <c r="B145" s="109" t="s">
        <v>879</v>
      </c>
      <c r="C145" s="110" t="s">
        <v>99</v>
      </c>
      <c r="D145" s="97" t="s">
        <v>633</v>
      </c>
      <c r="E145" s="101" t="s">
        <v>866</v>
      </c>
      <c r="F145" s="97" t="s">
        <v>867</v>
      </c>
      <c r="G145" s="101" t="s">
        <v>638</v>
      </c>
      <c r="H145" s="97" t="s">
        <v>81</v>
      </c>
      <c r="I145" s="98" t="s">
        <v>81</v>
      </c>
    </row>
    <row r="146" spans="1:9" ht="19.5" customHeight="1">
      <c r="A146" s="92" t="s">
        <v>880</v>
      </c>
      <c r="B146" s="109" t="s">
        <v>881</v>
      </c>
      <c r="C146" s="110" t="s">
        <v>99</v>
      </c>
      <c r="D146" s="97" t="s">
        <v>648</v>
      </c>
      <c r="E146" s="101" t="s">
        <v>866</v>
      </c>
      <c r="F146" s="97" t="s">
        <v>867</v>
      </c>
      <c r="G146" s="101" t="s">
        <v>638</v>
      </c>
      <c r="H146" s="97" t="s">
        <v>81</v>
      </c>
      <c r="I146" s="98" t="s">
        <v>81</v>
      </c>
    </row>
    <row r="147" spans="1:9" ht="19.5" customHeight="1">
      <c r="A147" s="92" t="s">
        <v>882</v>
      </c>
      <c r="B147" s="109" t="s">
        <v>883</v>
      </c>
      <c r="C147" s="110" t="s">
        <v>99</v>
      </c>
      <c r="D147" s="97" t="s">
        <v>648</v>
      </c>
      <c r="E147" s="101" t="s">
        <v>866</v>
      </c>
      <c r="F147" s="97" t="s">
        <v>867</v>
      </c>
      <c r="G147" s="101" t="s">
        <v>638</v>
      </c>
      <c r="H147" s="97" t="s">
        <v>81</v>
      </c>
      <c r="I147" s="98" t="s">
        <v>81</v>
      </c>
    </row>
    <row r="148" spans="1:9" ht="19.5" customHeight="1">
      <c r="A148" s="111" t="s">
        <v>884</v>
      </c>
      <c r="B148" s="112" t="s">
        <v>885</v>
      </c>
      <c r="C148" s="113" t="s">
        <v>103</v>
      </c>
      <c r="D148" s="97" t="s">
        <v>651</v>
      </c>
      <c r="E148" s="101" t="s">
        <v>886</v>
      </c>
      <c r="F148" s="97" t="s">
        <v>887</v>
      </c>
      <c r="G148" s="101" t="s">
        <v>656</v>
      </c>
      <c r="H148" s="97" t="s">
        <v>81</v>
      </c>
      <c r="I148" s="98" t="s">
        <v>81</v>
      </c>
    </row>
    <row r="149" spans="1:9" ht="19.5" customHeight="1">
      <c r="A149" s="111" t="s">
        <v>888</v>
      </c>
      <c r="B149" s="112" t="s">
        <v>889</v>
      </c>
      <c r="C149" s="113" t="s">
        <v>103</v>
      </c>
      <c r="D149" s="97" t="s">
        <v>661</v>
      </c>
      <c r="E149" s="101" t="s">
        <v>886</v>
      </c>
      <c r="F149" s="97" t="s">
        <v>887</v>
      </c>
      <c r="G149" s="101" t="s">
        <v>656</v>
      </c>
      <c r="H149" s="97" t="s">
        <v>81</v>
      </c>
      <c r="I149" s="98" t="s">
        <v>81</v>
      </c>
    </row>
    <row r="150" spans="1:9" ht="19.5" customHeight="1">
      <c r="A150" s="111" t="s">
        <v>890</v>
      </c>
      <c r="B150" s="112" t="s">
        <v>891</v>
      </c>
      <c r="C150" s="113" t="s">
        <v>103</v>
      </c>
      <c r="D150" s="97" t="s">
        <v>666</v>
      </c>
      <c r="E150" s="101" t="s">
        <v>886</v>
      </c>
      <c r="F150" s="97" t="s">
        <v>887</v>
      </c>
      <c r="G150" s="101" t="s">
        <v>656</v>
      </c>
      <c r="H150" s="97" t="s">
        <v>81</v>
      </c>
      <c r="I150" s="98" t="s">
        <v>81</v>
      </c>
    </row>
    <row r="151" spans="1:9" ht="19.5" customHeight="1">
      <c r="A151" s="111" t="s">
        <v>892</v>
      </c>
      <c r="B151" s="112" t="s">
        <v>893</v>
      </c>
      <c r="C151" s="113" t="s">
        <v>103</v>
      </c>
      <c r="D151" s="97" t="s">
        <v>651</v>
      </c>
      <c r="E151" s="101" t="s">
        <v>886</v>
      </c>
      <c r="F151" s="97" t="s">
        <v>887</v>
      </c>
      <c r="G151" s="101" t="s">
        <v>656</v>
      </c>
      <c r="H151" s="97" t="s">
        <v>81</v>
      </c>
      <c r="I151" s="98" t="s">
        <v>81</v>
      </c>
    </row>
    <row r="152" spans="1:9" ht="19.5" customHeight="1">
      <c r="A152" s="111" t="s">
        <v>894</v>
      </c>
      <c r="B152" s="112" t="s">
        <v>895</v>
      </c>
      <c r="C152" s="113" t="s">
        <v>103</v>
      </c>
      <c r="D152" s="97" t="s">
        <v>661</v>
      </c>
      <c r="E152" s="101" t="s">
        <v>886</v>
      </c>
      <c r="F152" s="97" t="s">
        <v>887</v>
      </c>
      <c r="G152" s="101" t="s">
        <v>656</v>
      </c>
      <c r="H152" s="97" t="s">
        <v>81</v>
      </c>
      <c r="I152" s="98" t="s">
        <v>81</v>
      </c>
    </row>
    <row r="153" spans="1:9" ht="19.5" customHeight="1">
      <c r="A153" s="111" t="s">
        <v>896</v>
      </c>
      <c r="B153" s="112" t="s">
        <v>897</v>
      </c>
      <c r="C153" s="113" t="s">
        <v>103</v>
      </c>
      <c r="D153" s="97" t="s">
        <v>666</v>
      </c>
      <c r="E153" s="101" t="s">
        <v>886</v>
      </c>
      <c r="F153" s="97" t="s">
        <v>887</v>
      </c>
      <c r="G153" s="101" t="s">
        <v>656</v>
      </c>
      <c r="H153" s="97" t="s">
        <v>81</v>
      </c>
      <c r="I153" s="98" t="s">
        <v>81</v>
      </c>
    </row>
    <row r="154" spans="1:9" ht="19.5" customHeight="1">
      <c r="A154" s="111" t="s">
        <v>898</v>
      </c>
      <c r="B154" s="112" t="s">
        <v>899</v>
      </c>
      <c r="C154" s="113" t="s">
        <v>103</v>
      </c>
      <c r="D154" s="97" t="s">
        <v>651</v>
      </c>
      <c r="E154" s="101" t="s">
        <v>886</v>
      </c>
      <c r="F154" s="97" t="s">
        <v>887</v>
      </c>
      <c r="G154" s="101" t="s">
        <v>656</v>
      </c>
      <c r="H154" s="97" t="s">
        <v>81</v>
      </c>
      <c r="I154" s="98" t="s">
        <v>81</v>
      </c>
    </row>
    <row r="155" spans="1:9" ht="19.5" customHeight="1">
      <c r="A155" s="111" t="s">
        <v>900</v>
      </c>
      <c r="B155" s="112" t="s">
        <v>901</v>
      </c>
      <c r="C155" s="113" t="s">
        <v>103</v>
      </c>
      <c r="D155" s="97" t="s">
        <v>661</v>
      </c>
      <c r="E155" s="101" t="s">
        <v>886</v>
      </c>
      <c r="F155" s="97" t="s">
        <v>887</v>
      </c>
      <c r="G155" s="101" t="s">
        <v>656</v>
      </c>
      <c r="H155" s="97" t="s">
        <v>81</v>
      </c>
      <c r="I155" s="98" t="s">
        <v>81</v>
      </c>
    </row>
    <row r="156" spans="1:9" ht="19.5" customHeight="1">
      <c r="A156" s="111" t="s">
        <v>902</v>
      </c>
      <c r="B156" s="112" t="s">
        <v>903</v>
      </c>
      <c r="C156" s="113" t="s">
        <v>103</v>
      </c>
      <c r="D156" s="97" t="s">
        <v>666</v>
      </c>
      <c r="E156" s="101" t="s">
        <v>886</v>
      </c>
      <c r="F156" s="97" t="s">
        <v>887</v>
      </c>
      <c r="G156" s="101" t="s">
        <v>656</v>
      </c>
      <c r="H156" s="97" t="s">
        <v>81</v>
      </c>
      <c r="I156" s="98" t="s">
        <v>81</v>
      </c>
    </row>
  </sheetData>
  <mergeCells count="2">
    <mergeCell ref="A1:I1"/>
    <mergeCell ref="A2:I2"/>
  </mergeCells>
  <phoneticPr fontId="74" type="noConversion"/>
  <hyperlinks>
    <hyperlink ref="J1" r:id="rId1" location="🗺️%20제작%20방식%20개요!A1" xr:uid="{00000000-0004-0000-0900-000000000000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🗺️ 제작 방식 개요</vt:lpstr>
      <vt:lpstr>📌 기획 의도</vt:lpstr>
      <vt:lpstr>📐 수량 계산 근거</vt:lpstr>
      <vt:lpstr>📋 장비 아이템 리스트</vt:lpstr>
      <vt:lpstr>🗡️ 전리품 제작</vt:lpstr>
      <vt:lpstr>🏰 던전 코어 제작</vt:lpstr>
      <vt:lpstr>🏡 하우징 채집 효과</vt:lpstr>
      <vt:lpstr>📊 채집 시간 기준</vt:lpstr>
      <vt:lpstr>🎲 드랍률 설계</vt:lpstr>
      <vt:lpstr>✅ Craft 수량 반영안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황보영</cp:lastModifiedBy>
  <cp:revision>0</cp:revision>
  <dcterms:created xsi:type="dcterms:W3CDTF">2026-03-04T08:46:16Z</dcterms:created>
  <dcterms:modified xsi:type="dcterms:W3CDTF">2026-03-20T08:13:01Z</dcterms:modified>
  <dc:language>en-US</dc:language>
</cp:coreProperties>
</file>