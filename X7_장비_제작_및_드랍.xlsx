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🗺️ 제작 방식 개요" sheetId="1" state="visible" r:id="rId3"/>
    <sheet name="📌 기획 의도" sheetId="2" state="visible" r:id="rId4"/>
    <sheet name="📐 수량 계산 근거" sheetId="3" state="visible" r:id="rId5"/>
    <sheet name="📋 장비 아이템 리스트" sheetId="4" state="visible" r:id="rId6"/>
    <sheet name="🗡️ 전리품 제작" sheetId="5" state="visible" r:id="rId7"/>
    <sheet name="🏰 던전 코어 제작" sheetId="6" state="visible" r:id="rId8"/>
    <sheet name="🏡 하우징 채집 효과" sheetId="7" state="visible" r:id="rId9"/>
    <sheet name="📊 채집 시간 기준" sheetId="8" state="visible" r:id="rId10"/>
    <sheet name="🎲 드랍률 설계" sheetId="9" state="visible" r:id="rId11"/>
    <sheet name="✅ Craft 수량 반영안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<sst xmlns="http://schemas.openxmlformats.org/spreadsheetml/2006/main" count="2584" uniqueCount="808">
  <si>
    <t xml:space="preserve">장비 획득 &amp; 제작 방식 개요</t>
  </si>
  <si>
    <t xml:space="preserve">각 경로 제목을 클릭하면 해당 밸런스 시트로 이동합니다</t>
  </si>
  <si>
    <t xml:space="preserve">  🔨  기본 제작</t>
  </si>
  <si>
    <t xml:space="preserve">    채집물만으로 기초 장비 제작 — 튜토리얼 구간</t>
  </si>
  <si>
    <t xml:space="preserve">  📦  필요 재료</t>
  </si>
  <si>
    <t xml:space="preserve">채집물 → 가공물(10:1) → 제작</t>
  </si>
  <si>
    <r>
      <rPr>
        <sz val="10"/>
        <color rgb="FF333333"/>
        <rFont val="맑은 고딕"/>
        <family val="2"/>
        <charset val="129"/>
      </rPr>
      <t xml:space="preserve">      •  T1 </t>
    </r>
    <r>
      <rPr>
        <sz val="10"/>
        <color rgb="FF333333"/>
        <rFont val="Noto Sans CJK SC"/>
        <family val="2"/>
      </rPr>
      <t xml:space="preserve">전용 제작 경로</t>
    </r>
  </si>
  <si>
    <t xml:space="preserve">      •  전리품·코어 불필요</t>
  </si>
  <si>
    <t xml:space="preserve">      •  진입 장벽 없음 — 누구나 즉시 가능</t>
  </si>
  <si>
    <t xml:space="preserve">      •  옵션: 단일 패시브 1개 (기초 스탯)</t>
  </si>
  <si>
    <t xml:space="preserve">→ 상세 보기</t>
  </si>
  <si>
    <t xml:space="preserve">  ⚔️  전리품 제작</t>
  </si>
  <si>
    <t xml:space="preserve">    필드 몬스터 사냥 → 전리품 수집 → 제작</t>
  </si>
  <si>
    <t xml:space="preserve">전리품(53xx) + 가공물(52xx)</t>
  </si>
  <si>
    <t xml:space="preserve">      •  입장 제한 없음 — 시간 투자할수록 빠름</t>
  </si>
  <si>
    <r>
      <rPr>
        <sz val="10"/>
        <color rgb="FF333333"/>
        <rFont val="맑은 고딕"/>
        <family val="2"/>
        <charset val="129"/>
      </rPr>
      <t xml:space="preserve">      •  T2~T7 </t>
    </r>
    <r>
      <rPr>
        <sz val="10"/>
        <color rgb="FF333333"/>
        <rFont val="Noto Sans CJK SC"/>
        <family val="2"/>
      </rPr>
      <t xml:space="preserve">전 티어 지원</t>
    </r>
  </si>
  <si>
    <t xml:space="preserve">      •  드랍률 15% → '자주 나온다'는 긍정 체감</t>
  </si>
  <si>
    <t xml:space="preserve">      •  옵션: 패시브 2개 (T2), 패시브 2~3개 (T3+)</t>
  </si>
  <si>
    <t xml:space="preserve">  🏰  던전 코어 제작</t>
  </si>
  <si>
    <t xml:space="preserve">    던전 클리어 → 코어 수집(일 3회 제한) → 제작</t>
  </si>
  <si>
    <t xml:space="preserve">코어(53xx 0001/0002) + 가공물(52xx)</t>
  </si>
  <si>
    <r>
      <rPr>
        <sz val="10"/>
        <color rgb="FF333333"/>
        <rFont val="맑은 고딕"/>
        <family val="2"/>
        <charset val="129"/>
      </rPr>
      <t xml:space="preserve">      •  100% </t>
    </r>
    <r>
      <rPr>
        <sz val="10"/>
        <color rgb="FF333333"/>
        <rFont val="Noto Sans CJK SC"/>
        <family val="2"/>
      </rPr>
      <t xml:space="preserve">확정 드랍 </t>
    </r>
    <r>
      <rPr>
        <sz val="10"/>
        <color rgb="FF333333"/>
        <rFont val="맑은 고딕"/>
        <family val="2"/>
        <charset val="129"/>
      </rPr>
      <t xml:space="preserve">/ 3~7</t>
    </r>
    <r>
      <rPr>
        <sz val="10"/>
        <color rgb="FF333333"/>
        <rFont val="Noto Sans CJK SC"/>
        <family val="2"/>
      </rPr>
      <t xml:space="preserve">개 랜덤</t>
    </r>
    <r>
      <rPr>
        <sz val="10"/>
        <color rgb="FF333333"/>
        <rFont val="맑은 고딕"/>
        <family val="2"/>
        <charset val="129"/>
      </rPr>
      <t xml:space="preserve">(</t>
    </r>
    <r>
      <rPr>
        <sz val="10"/>
        <color rgb="FF333333"/>
        <rFont val="Noto Sans CJK SC"/>
        <family val="2"/>
      </rPr>
      <t xml:space="preserve">평균 </t>
    </r>
    <r>
      <rPr>
        <sz val="10"/>
        <color rgb="FF333333"/>
        <rFont val="맑은 고딕"/>
        <family val="2"/>
        <charset val="129"/>
      </rPr>
      <t xml:space="preserve">5)</t>
    </r>
  </si>
  <si>
    <t xml:space="preserve">      •  하루 45분 투자 → 달력상 며칠~100일</t>
  </si>
  <si>
    <t xml:space="preserve">      •  라이트 유저 최적 경로</t>
  </si>
  <si>
    <t xml:space="preserve">      •  옵션: 패시브 2~3개 (T2~T3+)</t>
  </si>
  <si>
    <t xml:space="preserve">  💀  보스 드랍</t>
  </si>
  <si>
    <t xml:space="preserve">    필드/던전 보스 처치 → 완제품 즉시 획득</t>
  </si>
  <si>
    <t xml:space="preserve">재료 불필요 — 보스 처치만으로 획득</t>
  </si>
  <si>
    <t xml:space="preserve">      •  드랍 확률 0.5~1% — 낮지만 즉시 완성</t>
  </si>
  <si>
    <t xml:space="preserve">      •  운빨 도파민 경로</t>
  </si>
  <si>
    <r>
      <rPr>
        <sz val="10"/>
        <color rgb="FF333333"/>
        <rFont val="맑은 고딕"/>
        <family val="2"/>
        <charset val="129"/>
      </rPr>
      <t xml:space="preserve">      •  T2~T3 </t>
    </r>
    <r>
      <rPr>
        <sz val="10"/>
        <color rgb="FF333333"/>
        <rFont val="Noto Sans CJK SC"/>
        <family val="2"/>
      </rPr>
      <t xml:space="preserve">신발</t>
    </r>
    <r>
      <rPr>
        <sz val="10"/>
        <color rgb="FF333333"/>
        <rFont val="맑은 고딕"/>
        <family val="2"/>
        <charset val="129"/>
      </rPr>
      <t xml:space="preserve">/</t>
    </r>
    <r>
      <rPr>
        <sz val="10"/>
        <color rgb="FF333333"/>
        <rFont val="Noto Sans CJK SC"/>
        <family val="2"/>
      </rPr>
      <t xml:space="preserve">아머</t>
    </r>
    <r>
      <rPr>
        <sz val="10"/>
        <color rgb="FF333333"/>
        <rFont val="맑은 고딕"/>
        <family val="2"/>
        <charset val="129"/>
      </rPr>
      <t xml:space="preserve">/</t>
    </r>
    <r>
      <rPr>
        <sz val="10"/>
        <color rgb="FF333333"/>
        <rFont val="Noto Sans CJK SC"/>
        <family val="2"/>
      </rPr>
      <t xml:space="preserve">헬멧 등 특정 파츠 전용</t>
    </r>
  </si>
  <si>
    <t xml:space="preserve">      •  옵션: 패시브 2~3개 (최상위 조합 다수)</t>
  </si>
  <si>
    <t xml:space="preserve">  📂  시트 바로가기</t>
  </si>
  <si>
    <t xml:space="preserve">📌 기획 의도</t>
  </si>
  <si>
    <t xml:space="preserve">📐 수량 계산 근거</t>
  </si>
  <si>
    <t xml:space="preserve">🗡️ 전리품 제작</t>
  </si>
  <si>
    <t xml:space="preserve">🏰 던전 코어</t>
  </si>
  <si>
    <t xml:space="preserve">🎲 드랍률 설계</t>
  </si>
  <si>
    <t xml:space="preserve">✅ Craft 반영안</t>
  </si>
  <si>
    <t xml:space="preserve">📋 아이템 리스트</t>
  </si>
  <si>
    <t xml:space="preserve">드랍 &amp; 제작 밸런스 기획안  |  장비 획득 시스템 설계 의도</t>
  </si>
  <si>
    <t xml:space="preserve">🏠 개요로 돌아가기</t>
  </si>
  <si>
    <t xml:space="preserve">■  전체 설계 철학</t>
  </si>
  <si>
    <t xml:space="preserve">    •  초반(T1~T3)은 빠르게 성장, 중후반(T4+)부터 점진적으로 무게감을 높여 피로감 최소화</t>
  </si>
  <si>
    <t xml:space="preserve">    •  장비 획득 경로 3가지 — 각 경로는 서로 다른 '재미'와 '장점'을 제공하며 보완적 관계</t>
  </si>
  <si>
    <t xml:space="preserve">    •  어떤 방식을 선택해도 불합리하지 않도록 경로 간 밸런스 유지</t>
  </si>
  <si>
    <t xml:space="preserve">■  전리품 제작 — '시간을 갈아넣으면 빠른' 경로</t>
  </si>
  <si>
    <t xml:space="preserve">    •  필드 사냥으로 전리품을 수집하여 제작 — 입장 제한 없음, 투자 시간에 비례하여 빠르게 달성 가능</t>
  </si>
  <si>
    <t xml:space="preserve">    •  동일 티어 전리품 드랍률 15% → 7마리당 약 1개, '자주 나온다'는 긍정적 체감 설계</t>
  </si>
  <si>
    <t xml:space="preserve">    •  가공물도 함께 요구 → 채집 활동 자연스럽게 병행 유도 / 채집 투자 시간 ≈ 전리품 파밍 시간의 50%</t>
  </si>
  <si>
    <t xml:space="preserve">    •  채집물 10개를 가공하면 가공물 1개 생산 (10 : 1 가공 비율) — 제작에는 가공물이 직접 투입됨</t>
  </si>
  <si>
    <t xml:space="preserve">    •  장점 : 시간 투자에 비례하는 확정 성장 / 하드코어 유저에게 가장 유리한 경로</t>
  </si>
  <si>
    <t xml:space="preserve">■  던전 코어 제작 — '매일 조금씩 쌓이는' 경로</t>
  </si>
  <si>
    <t xml:space="preserve">    •  던전 클리어 시 코어 100% 확정 드랍 — 드랍 수량 3~7개 랜덤(평균 5개), 일 3회 입장 제한</t>
  </si>
  <si>
    <r>
      <rPr>
        <sz val="10"/>
        <color rgb="FF1C2833"/>
        <rFont val="맑은 고딕"/>
        <family val="2"/>
        <charset val="129"/>
      </rPr>
      <t xml:space="preserve">    •  1~10 </t>
    </r>
    <r>
      <rPr>
        <sz val="10"/>
        <color rgb="FF1C2833"/>
        <rFont val="Noto Sans CJK SC"/>
        <family val="2"/>
      </rPr>
      <t xml:space="preserve">같은 큰 편차 없이 </t>
    </r>
    <r>
      <rPr>
        <sz val="10"/>
        <color rgb="FF1C2833"/>
        <rFont val="맑은 고딕"/>
        <family val="2"/>
        <charset val="129"/>
      </rPr>
      <t xml:space="preserve">3~7</t>
    </r>
    <r>
      <rPr>
        <sz val="10"/>
        <color rgb="FF1C2833"/>
        <rFont val="Noto Sans CJK SC"/>
        <family val="2"/>
      </rPr>
      <t xml:space="preserve">로 좁혀 </t>
    </r>
    <r>
      <rPr>
        <sz val="10"/>
        <color rgb="FF1C2833"/>
        <rFont val="맑은 고딕"/>
        <family val="2"/>
        <charset val="129"/>
      </rPr>
      <t xml:space="preserve">'</t>
    </r>
    <r>
      <rPr>
        <sz val="10"/>
        <color rgb="FF1C2833"/>
        <rFont val="Noto Sans CJK SC"/>
        <family val="2"/>
      </rPr>
      <t xml:space="preserve">운빨</t>
    </r>
    <r>
      <rPr>
        <sz val="10"/>
        <color rgb="FF1C2833"/>
        <rFont val="맑은 고딕"/>
        <family val="2"/>
        <charset val="129"/>
      </rPr>
      <t xml:space="preserve">'</t>
    </r>
    <r>
      <rPr>
        <sz val="10"/>
        <color rgb="FF1C2833"/>
        <rFont val="Noto Sans CJK SC"/>
        <family val="2"/>
      </rPr>
      <t xml:space="preserve">보다 </t>
    </r>
    <r>
      <rPr>
        <sz val="10"/>
        <color rgb="FF1C2833"/>
        <rFont val="맑은 고딕"/>
        <family val="2"/>
        <charset val="129"/>
      </rPr>
      <t xml:space="preserve">'</t>
    </r>
    <r>
      <rPr>
        <sz val="10"/>
        <color rgb="FF1C2833"/>
        <rFont val="Noto Sans CJK SC"/>
        <family val="2"/>
      </rPr>
      <t xml:space="preserve">천장 보장</t>
    </r>
    <r>
      <rPr>
        <sz val="10"/>
        <color rgb="FF1C2833"/>
        <rFont val="맑은 고딕"/>
        <family val="2"/>
        <charset val="129"/>
      </rPr>
      <t xml:space="preserve">' </t>
    </r>
    <r>
      <rPr>
        <sz val="10"/>
        <color rgb="FF1C2833"/>
        <rFont val="Noto Sans CJK SC"/>
        <family val="2"/>
      </rPr>
      <t xml:space="preserve">성격 강화</t>
    </r>
  </si>
  <si>
    <t xml:space="preserve">    •  실제 투자 시간은 하루 약 45분(15분 × 3회)으로 짧지만, 달력상 완료까지 며칠~수십 일 소요</t>
  </si>
  <si>
    <t xml:space="preserve">    •  가공물 수량은 전리품 제작과 동일 — 어떤 경로든 채집 부담은 동등하게 설계</t>
  </si>
  <si>
    <t xml:space="preserve">    •  장점 : 시간이 없는 라이트 유저에게 유리 / 꾸준히 접속하면 언젠가 반드시 완성</t>
  </si>
  <si>
    <t xml:space="preserve">■  보스 드랍 — '운빨 도파민' 경로</t>
  </si>
  <si>
    <t xml:space="preserve">    •  보스 처치 시 0.5~1% 확률로 완성 장비 즉시 드랍 — 제작 과정 없이 바로 획득</t>
  </si>
  <si>
    <t xml:space="preserve">    •  주력 경로가 아닌 '보너스 도파민' 용도 — 예상치 못한 행운으로 강한 즉각적 성취감 제공</t>
  </si>
  <si>
    <t xml:space="preserve">    •  장점 : 랜덤성의 긴장감과 짜릿함 / 운이 좋으면 수 분 만에 장비 완성</t>
  </si>
  <si>
    <t xml:space="preserve">■  숫자 설계 기준 요약</t>
  </si>
  <si>
    <t xml:space="preserve">    •  사냥 속도 : 분당 20마리 처치 기준</t>
  </si>
  <si>
    <t xml:space="preserve">    •  전리품 드랍률 : 동일 티어 15% / 하위 티어 2%  (드랍 개수 1개 고정 — 확률 높게, 개수 적게)</t>
  </si>
  <si>
    <t xml:space="preserve">    •  채집 : 1회 5초 → 분당 12회 / 채집물 10개 가공 → 가공물 1개 (10 : 1)</t>
  </si>
  <si>
    <t xml:space="preserve">    •  가공물 수량 공식 : 파밍 목표시간(분) × 0.6  →  채집 시간이 정확히 파밍 시간의 50%</t>
  </si>
  <si>
    <t xml:space="preserve">    •  가공물 수량은 전리품 제작 / 코어 제작 구분 없이 동일하게 적용</t>
  </si>
  <si>
    <t xml:space="preserve">    •  던전 : 1회 약 15분 / 일 3회 제한 / 코어 3~7개 랜덤 드랍(평균 5개) / 100% 확정</t>
  </si>
  <si>
    <t xml:space="preserve">재료 수량 계산 근거 — 전리품 파밍 시간 기준 역산</t>
  </si>
  <si>
    <r>
      <rPr>
        <sz val="9"/>
        <color rgb="FF1B3A5C"/>
        <rFont val="Noto Sans CJK SC"/>
        <family val="2"/>
      </rPr>
      <t xml:space="preserve">전리품 수량 </t>
    </r>
    <r>
      <rPr>
        <sz val="9"/>
        <color rgb="FF1B3A5C"/>
        <rFont val="맑은 고딕"/>
        <family val="0"/>
        <charset val="1"/>
      </rPr>
      <t xml:space="preserve">= </t>
    </r>
    <r>
      <rPr>
        <sz val="9"/>
        <color rgb="FF1B3A5C"/>
        <rFont val="Noto Sans CJK SC"/>
        <family val="2"/>
      </rPr>
      <t xml:space="preserve">파밍 목표시간</t>
    </r>
    <r>
      <rPr>
        <sz val="9"/>
        <color rgb="FF1B3A5C"/>
        <rFont val="맑은 고딕"/>
        <family val="0"/>
        <charset val="1"/>
      </rPr>
      <t xml:space="preserve">(</t>
    </r>
    <r>
      <rPr>
        <sz val="9"/>
        <color rgb="FF1B3A5C"/>
        <rFont val="Noto Sans CJK SC"/>
        <family val="2"/>
      </rPr>
      <t xml:space="preserve">분</t>
    </r>
    <r>
      <rPr>
        <sz val="9"/>
        <color rgb="FF1B3A5C"/>
        <rFont val="맑은 고딕"/>
        <family val="0"/>
        <charset val="1"/>
      </rPr>
      <t xml:space="preserve">) × 3  |  </t>
    </r>
    <r>
      <rPr>
        <sz val="9"/>
        <color rgb="FF1B3A5C"/>
        <rFont val="Noto Sans CJK SC"/>
        <family val="2"/>
      </rPr>
      <t xml:space="preserve">가공물 </t>
    </r>
    <r>
      <rPr>
        <sz val="9"/>
        <color rgb="FF1B3A5C"/>
        <rFont val="맑은 고딕"/>
        <family val="0"/>
        <charset val="1"/>
      </rPr>
      <t xml:space="preserve">= </t>
    </r>
    <r>
      <rPr>
        <sz val="9"/>
        <color rgb="FF1B3A5C"/>
        <rFont val="Noto Sans CJK SC"/>
        <family val="2"/>
      </rPr>
      <t xml:space="preserve">채집물 </t>
    </r>
    <r>
      <rPr>
        <sz val="9"/>
        <color rgb="FF1B3A5C"/>
        <rFont val="맑은 고딕"/>
        <family val="0"/>
        <charset val="1"/>
      </rPr>
      <t xml:space="preserve">÷ 10  |  </t>
    </r>
    <r>
      <rPr>
        <sz val="9"/>
        <color rgb="FF1B3A5C"/>
        <rFont val="Noto Sans CJK SC"/>
        <family val="2"/>
      </rPr>
      <t xml:space="preserve">채집물 </t>
    </r>
    <r>
      <rPr>
        <sz val="9"/>
        <color rgb="FF1B3A5C"/>
        <rFont val="맑은 고딕"/>
        <family val="0"/>
        <charset val="1"/>
      </rPr>
      <t xml:space="preserve">= </t>
    </r>
    <r>
      <rPr>
        <sz val="9"/>
        <color rgb="FF1B3A5C"/>
        <rFont val="Noto Sans CJK SC"/>
        <family val="2"/>
      </rPr>
      <t xml:space="preserve">채집소요시간</t>
    </r>
    <r>
      <rPr>
        <sz val="9"/>
        <color rgb="FF1B3A5C"/>
        <rFont val="맑은 고딕"/>
        <family val="0"/>
        <charset val="1"/>
      </rPr>
      <t xml:space="preserve">(</t>
    </r>
    <r>
      <rPr>
        <sz val="9"/>
        <color rgb="FF1B3A5C"/>
        <rFont val="Noto Sans CJK SC"/>
        <family val="2"/>
      </rPr>
      <t xml:space="preserve">초</t>
    </r>
    <r>
      <rPr>
        <sz val="9"/>
        <color rgb="FF1B3A5C"/>
        <rFont val="맑은 고딕"/>
        <family val="0"/>
        <charset val="1"/>
      </rPr>
      <t xml:space="preserve">) ÷ </t>
    </r>
    <r>
      <rPr>
        <sz val="9"/>
        <color rgb="FF1B3A5C"/>
        <rFont val="Noto Sans CJK SC"/>
        <family val="2"/>
      </rPr>
      <t xml:space="preserve">채집</t>
    </r>
    <r>
      <rPr>
        <sz val="9"/>
        <color rgb="FF1B3A5C"/>
        <rFont val="맑은 고딕"/>
        <family val="0"/>
        <charset val="1"/>
      </rPr>
      <t xml:space="preserve">1</t>
    </r>
    <r>
      <rPr>
        <sz val="9"/>
        <color rgb="FF1B3A5C"/>
        <rFont val="Noto Sans CJK SC"/>
        <family val="2"/>
      </rPr>
      <t xml:space="preserve">회시간 → </t>
    </r>
    <r>
      <rPr>
        <sz val="9"/>
        <color rgb="FF1B3A5C"/>
        <rFont val="맑은 고딕"/>
        <family val="0"/>
        <charset val="1"/>
      </rPr>
      <t xml:space="preserve">10</t>
    </r>
    <r>
      <rPr>
        <sz val="9"/>
        <color rgb="FF1B3A5C"/>
        <rFont val="Noto Sans CJK SC"/>
        <family val="2"/>
      </rPr>
      <t xml:space="preserve">단위 반올림  </t>
    </r>
    <r>
      <rPr>
        <sz val="9"/>
        <color rgb="FF1B3A5C"/>
        <rFont val="맑은 고딕"/>
        <family val="0"/>
        <charset val="1"/>
      </rPr>
      <t xml:space="preserve">|  </t>
    </r>
    <r>
      <rPr>
        <sz val="9"/>
        <color rgb="FF1B3A5C"/>
        <rFont val="Noto Sans CJK SC"/>
        <family val="2"/>
      </rPr>
      <t xml:space="preserve">방어구 </t>
    </r>
    <r>
      <rPr>
        <sz val="9"/>
        <color rgb="FF1B3A5C"/>
        <rFont val="맑은 고딕"/>
        <family val="0"/>
        <charset val="1"/>
      </rPr>
      <t xml:space="preserve">= </t>
    </r>
    <r>
      <rPr>
        <sz val="9"/>
        <color rgb="FF1B3A5C"/>
        <rFont val="Noto Sans CJK SC"/>
        <family val="2"/>
      </rPr>
      <t xml:space="preserve">무기 </t>
    </r>
    <r>
      <rPr>
        <sz val="9"/>
        <color rgb="FF1B3A5C"/>
        <rFont val="맑은 고딕"/>
        <family val="0"/>
        <charset val="1"/>
      </rPr>
      <t xml:space="preserve">× 2</t>
    </r>
    <r>
      <rPr>
        <sz val="9"/>
        <color rgb="FF1B3A5C"/>
        <rFont val="Noto Sans CJK SC"/>
        <family val="2"/>
      </rPr>
      <t xml:space="preserve">배</t>
    </r>
  </si>
  <si>
    <t xml:space="preserve">티어</t>
  </si>
  <si>
    <t xml:space="preserve">무기
목표 시간</t>
  </si>
  <si>
    <t xml:space="preserve">방어구
목표 시간</t>
  </si>
  <si>
    <t xml:space="preserve">전리품</t>
  </si>
  <si>
    <r>
      <rPr>
        <b val="true"/>
        <sz val="9"/>
        <color rgb="FFFFFFFF"/>
        <rFont val="Noto Sans CJK SC"/>
        <family val="2"/>
      </rPr>
      <t xml:space="preserve">가공물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채집물 </t>
    </r>
    <r>
      <rPr>
        <b val="true"/>
        <sz val="9"/>
        <color rgb="FFFFFFFF"/>
        <rFont val="맑은 고딕"/>
        <family val="0"/>
        <charset val="1"/>
      </rPr>
      <t xml:space="preserve">÷10)</t>
    </r>
  </si>
  <si>
    <r>
      <rPr>
        <b val="true"/>
        <sz val="9"/>
        <color rgb="FFFFFFFF"/>
        <rFont val="Noto Sans CJK SC"/>
        <family val="2"/>
      </rPr>
      <t xml:space="preserve">채집물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무기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</si>
  <si>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채집 소요 시간
</t>
    </r>
    <r>
      <rPr>
        <b val="true"/>
        <sz val="9"/>
        <color rgb="FFFFFFFF"/>
        <rFont val="맑은 고딕"/>
        <family val="0"/>
        <charset val="1"/>
      </rPr>
      <t xml:space="preserve">&amp; </t>
    </r>
    <r>
      <rPr>
        <b val="true"/>
        <sz val="9"/>
        <color rgb="FFFFFFFF"/>
        <rFont val="Noto Sans CJK SC"/>
        <family val="2"/>
      </rPr>
      <t xml:space="preserve">채집 </t>
    </r>
    <r>
      <rPr>
        <b val="true"/>
        <sz val="9"/>
        <color rgb="FFFFFFFF"/>
        <rFont val="맑은 고딕"/>
        <family val="0"/>
        <charset val="1"/>
      </rPr>
      <t xml:space="preserve">1</t>
    </r>
    <r>
      <rPr>
        <b val="true"/>
        <sz val="9"/>
        <color rgb="FFFFFFFF"/>
        <rFont val="Noto Sans CJK SC"/>
        <family val="2"/>
      </rPr>
      <t xml:space="preserve">회 시간</t>
    </r>
  </si>
  <si>
    <t xml:space="preserve">무기</t>
  </si>
  <si>
    <t xml:space="preserve">방어구</t>
  </si>
  <si>
    <t xml:space="preserve">T1</t>
  </si>
  <si>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분</t>
    </r>
  </si>
  <si>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분</t>
    </r>
  </si>
  <si>
    <t xml:space="preserve">-</t>
  </si>
  <si>
    <r>
      <rPr>
        <sz val="9"/>
        <color rgb="FF000000"/>
        <rFont val="맑은 고딕"/>
        <family val="0"/>
        <charset val="1"/>
      </rPr>
      <t xml:space="preserve">2.5</t>
    </r>
    <r>
      <rPr>
        <sz val="9"/>
        <color rgb="FF000000"/>
        <rFont val="Noto Sans CJK SC"/>
        <family val="2"/>
      </rPr>
      <t xml:space="preserve">분 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3.00</t>
    </r>
    <r>
      <rPr>
        <sz val="9"/>
        <color rgb="FF000000"/>
        <rFont val="Noto Sans CJK SC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회</t>
    </r>
    <r>
      <rPr>
        <sz val="9"/>
        <color rgb="FF000000"/>
        <rFont val="맑은 고딕"/>
        <family val="0"/>
        <charset val="1"/>
      </rPr>
      <t xml:space="preserve">)</t>
    </r>
  </si>
  <si>
    <t xml:space="preserve">T2</t>
  </si>
  <si>
    <r>
      <rPr>
        <sz val="10"/>
        <color rgb="FF000000"/>
        <rFont val="맑은 고딕"/>
        <family val="0"/>
        <charset val="1"/>
      </rPr>
      <t xml:space="preserve">20</t>
    </r>
    <r>
      <rPr>
        <sz val="10"/>
        <color rgb="FF000000"/>
        <rFont val="Noto Sans CJK SC"/>
        <family val="2"/>
      </rPr>
      <t xml:space="preserve">분</t>
    </r>
  </si>
  <si>
    <r>
      <rPr>
        <sz val="10"/>
        <color rgb="FF000000"/>
        <rFont val="맑은 고딕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분</t>
    </r>
  </si>
  <si>
    <r>
      <rPr>
        <sz val="9"/>
        <color rgb="FF000000"/>
        <rFont val="맑은 고딕"/>
        <family val="0"/>
        <charset val="1"/>
      </rPr>
      <t xml:space="preserve">10.0</t>
    </r>
    <r>
      <rPr>
        <sz val="9"/>
        <color rgb="FF000000"/>
        <rFont val="Noto Sans CJK SC"/>
        <family val="2"/>
      </rPr>
      <t xml:space="preserve">분 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4.32</t>
    </r>
    <r>
      <rPr>
        <sz val="9"/>
        <color rgb="FF000000"/>
        <rFont val="Noto Sans CJK SC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회</t>
    </r>
    <r>
      <rPr>
        <sz val="9"/>
        <color rgb="FF000000"/>
        <rFont val="맑은 고딕"/>
        <family val="0"/>
        <charset val="1"/>
      </rPr>
      <t xml:space="preserve">)</t>
    </r>
  </si>
  <si>
    <t xml:space="preserve">T3</t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</si>
  <si>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시간</t>
    </r>
  </si>
  <si>
    <r>
      <rPr>
        <sz val="10"/>
        <color rgb="FF000000"/>
        <rFont val="맑은 고딕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시간</t>
    </r>
  </si>
  <si>
    <r>
      <rPr>
        <sz val="9"/>
        <color rgb="FF000000"/>
        <rFont val="맑은 고딕"/>
        <family val="0"/>
        <charset val="1"/>
      </rPr>
      <t xml:space="preserve">30.0</t>
    </r>
    <r>
      <rPr>
        <sz val="9"/>
        <color rgb="FF000000"/>
        <rFont val="Noto Sans CJK SC"/>
        <family val="2"/>
      </rPr>
      <t xml:space="preserve">분 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7.46</t>
    </r>
    <r>
      <rPr>
        <sz val="9"/>
        <color rgb="FF000000"/>
        <rFont val="Noto Sans CJK SC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회</t>
    </r>
    <r>
      <rPr>
        <sz val="9"/>
        <color rgb="FF000000"/>
        <rFont val="맑은 고딕"/>
        <family val="0"/>
        <charset val="1"/>
      </rPr>
      <t xml:space="preserve">)</t>
    </r>
  </si>
  <si>
    <t xml:space="preserve">T4</t>
  </si>
  <si>
    <r>
      <rPr>
        <sz val="10"/>
        <color rgb="FF000000"/>
        <rFont val="맑은 고딕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시간</t>
    </r>
  </si>
  <si>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시간</t>
    </r>
  </si>
  <si>
    <r>
      <rPr>
        <sz val="9"/>
        <color rgb="FF000000"/>
        <rFont val="맑은 고딕"/>
        <family val="0"/>
        <charset val="1"/>
      </rPr>
      <t xml:space="preserve">2.5</t>
    </r>
    <r>
      <rPr>
        <sz val="9"/>
        <color rgb="FF000000"/>
        <rFont val="Noto Sans CJK SC"/>
        <family val="2"/>
      </rPr>
      <t xml:space="preserve">시간 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15.48</t>
    </r>
    <r>
      <rPr>
        <sz val="9"/>
        <color rgb="FF000000"/>
        <rFont val="Noto Sans CJK SC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회</t>
    </r>
    <r>
      <rPr>
        <sz val="9"/>
        <color rgb="FF000000"/>
        <rFont val="맑은 고딕"/>
        <family val="0"/>
        <charset val="1"/>
      </rPr>
      <t xml:space="preserve">)</t>
    </r>
  </si>
  <si>
    <t xml:space="preserve">T5</t>
  </si>
  <si>
    <r>
      <rPr>
        <sz val="10"/>
        <color rgb="FF000000"/>
        <rFont val="맑은 고딕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시간</t>
    </r>
  </si>
  <si>
    <r>
      <rPr>
        <sz val="10"/>
        <color rgb="FF000000"/>
        <rFont val="맑은 고딕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시간</t>
    </r>
  </si>
  <si>
    <r>
      <rPr>
        <sz val="9"/>
        <color rgb="FF000000"/>
        <rFont val="맑은 고딕"/>
        <family val="0"/>
        <charset val="1"/>
      </rPr>
      <t xml:space="preserve">12.5</t>
    </r>
    <r>
      <rPr>
        <sz val="9"/>
        <color rgb="FF000000"/>
        <rFont val="Noto Sans CJK SC"/>
        <family val="2"/>
      </rPr>
      <t xml:space="preserve">시간 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38.52</t>
    </r>
    <r>
      <rPr>
        <sz val="9"/>
        <color rgb="FF000000"/>
        <rFont val="Noto Sans CJK SC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회</t>
    </r>
    <r>
      <rPr>
        <sz val="9"/>
        <color rgb="FF000000"/>
        <rFont val="맑은 고딕"/>
        <family val="0"/>
        <charset val="1"/>
      </rPr>
      <t xml:space="preserve">)</t>
    </r>
  </si>
  <si>
    <t xml:space="preserve">T6</t>
  </si>
  <si>
    <r>
      <rPr>
        <sz val="10"/>
        <color rgb="FF000000"/>
        <rFont val="맑은 고딕"/>
        <family val="0"/>
        <charset val="1"/>
      </rPr>
      <t xml:space="preserve">125</t>
    </r>
    <r>
      <rPr>
        <sz val="10"/>
        <color rgb="FF000000"/>
        <rFont val="Noto Sans CJK SC"/>
        <family val="2"/>
      </rPr>
      <t xml:space="preserve">시간</t>
    </r>
  </si>
  <si>
    <r>
      <rPr>
        <sz val="10"/>
        <color rgb="FF000000"/>
        <rFont val="맑은 고딕"/>
        <family val="0"/>
        <charset val="1"/>
      </rPr>
      <t xml:space="preserve">250</t>
    </r>
    <r>
      <rPr>
        <sz val="10"/>
        <color rgb="FF000000"/>
        <rFont val="Noto Sans CJK SC"/>
        <family val="2"/>
      </rPr>
      <t xml:space="preserve">시간</t>
    </r>
  </si>
  <si>
    <r>
      <rPr>
        <sz val="9"/>
        <color rgb="FF000000"/>
        <rFont val="맑은 고딕"/>
        <family val="0"/>
        <charset val="1"/>
      </rPr>
      <t xml:space="preserve">62.5</t>
    </r>
    <r>
      <rPr>
        <sz val="9"/>
        <color rgb="FF000000"/>
        <rFont val="Noto Sans CJK SC"/>
        <family val="2"/>
      </rPr>
      <t xml:space="preserve">시간 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115.01</t>
    </r>
    <r>
      <rPr>
        <sz val="9"/>
        <color rgb="FF000000"/>
        <rFont val="Noto Sans CJK SC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회</t>
    </r>
    <r>
      <rPr>
        <sz val="9"/>
        <color rgb="FF000000"/>
        <rFont val="맑은 고딕"/>
        <family val="0"/>
        <charset val="1"/>
      </rPr>
      <t xml:space="preserve">)</t>
    </r>
  </si>
  <si>
    <t xml:space="preserve">T7</t>
  </si>
  <si>
    <r>
      <rPr>
        <sz val="10"/>
        <color rgb="FF000000"/>
        <rFont val="맑은 고딕"/>
        <family val="0"/>
        <charset val="1"/>
      </rPr>
      <t xml:space="preserve">625</t>
    </r>
    <r>
      <rPr>
        <sz val="10"/>
        <color rgb="FF000000"/>
        <rFont val="Noto Sans CJK SC"/>
        <family val="2"/>
      </rPr>
      <t xml:space="preserve">시간</t>
    </r>
  </si>
  <si>
    <r>
      <rPr>
        <sz val="10"/>
        <color rgb="FF000000"/>
        <rFont val="맑은 고딕"/>
        <family val="0"/>
        <charset val="1"/>
      </rPr>
      <t xml:space="preserve">1,350</t>
    </r>
    <r>
      <rPr>
        <sz val="10"/>
        <color rgb="FF000000"/>
        <rFont val="Noto Sans CJK SC"/>
        <family val="2"/>
      </rPr>
      <t xml:space="preserve">시간</t>
    </r>
  </si>
  <si>
    <r>
      <rPr>
        <sz val="9"/>
        <color rgb="FF000000"/>
        <rFont val="맑은 고딕"/>
        <family val="0"/>
        <charset val="1"/>
      </rPr>
      <t xml:space="preserve">312.5</t>
    </r>
    <r>
      <rPr>
        <sz val="9"/>
        <color rgb="FF000000"/>
        <rFont val="Noto Sans CJK SC"/>
        <family val="2"/>
      </rPr>
      <t xml:space="preserve">시간  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412.11</t>
    </r>
    <r>
      <rPr>
        <sz val="9"/>
        <color rgb="FF000000"/>
        <rFont val="Noto Sans CJK SC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/</t>
    </r>
    <r>
      <rPr>
        <sz val="9"/>
        <color rgb="FF000000"/>
        <rFont val="Noto Sans CJK SC"/>
        <family val="2"/>
      </rPr>
      <t xml:space="preserve">회</t>
    </r>
    <r>
      <rPr>
        <sz val="9"/>
        <color rgb="FF000000"/>
        <rFont val="맑은 고딕"/>
        <family val="0"/>
        <charset val="1"/>
      </rPr>
      <t xml:space="preserve">)</t>
    </r>
  </si>
  <si>
    <t xml:space="preserve">■  계산 공식 및 설계 근거</t>
  </si>
  <si>
    <r>
      <rPr>
        <b val="true"/>
        <sz val="9"/>
        <color rgb="FF000000"/>
        <rFont val="Noto Sans CJK SC"/>
        <family val="2"/>
      </rPr>
      <t xml:space="preserve">전리품 수량 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Noto Sans CJK SC"/>
        <family val="2"/>
      </rPr>
      <t xml:space="preserve">무기</t>
    </r>
    <r>
      <rPr>
        <b val="true"/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</si>
  <si>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파밍 목표시간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분</t>
    </r>
    <r>
      <rPr>
        <sz val="9"/>
        <color rgb="FF000000"/>
        <rFont val="맑은 고딕"/>
        <family val="0"/>
        <charset val="1"/>
      </rPr>
      <t xml:space="preserve">) × 3  →  </t>
    </r>
    <r>
      <rPr>
        <sz val="9"/>
        <color rgb="FF000000"/>
        <rFont val="Noto Sans CJK SC"/>
        <family val="2"/>
      </rPr>
      <t xml:space="preserve">예</t>
    </r>
    <r>
      <rPr>
        <sz val="9"/>
        <color rgb="FF000000"/>
        <rFont val="맑은 고딕"/>
        <family val="0"/>
        <charset val="1"/>
      </rPr>
      <t xml:space="preserve">) T2: 20</t>
    </r>
    <r>
      <rPr>
        <sz val="9"/>
        <color rgb="FF000000"/>
        <rFont val="Noto Sans CJK SC"/>
        <family val="2"/>
      </rPr>
      <t xml:space="preserve">분 </t>
    </r>
    <r>
      <rPr>
        <sz val="9"/>
        <color rgb="FF000000"/>
        <rFont val="맑은 고딕"/>
        <family val="0"/>
        <charset val="1"/>
      </rPr>
      <t xml:space="preserve">× 3 = 60</t>
    </r>
    <r>
      <rPr>
        <sz val="9"/>
        <color rgb="FF000000"/>
        <rFont val="Noto Sans CJK SC"/>
        <family val="2"/>
      </rPr>
      <t xml:space="preserve">개</t>
    </r>
  </si>
  <si>
    <r>
      <rPr>
        <b val="true"/>
        <sz val="9"/>
        <color rgb="FF000000"/>
        <rFont val="Noto Sans CJK SC"/>
        <family val="2"/>
      </rPr>
      <t xml:space="preserve">전리품 수량 </t>
    </r>
    <r>
      <rPr>
        <b val="true"/>
        <sz val="9"/>
        <color rgb="FF000000"/>
        <rFont val="맑은 고딕"/>
        <family val="0"/>
        <charset val="1"/>
      </rPr>
      <t xml:space="preserve">(</t>
    </r>
    <r>
      <rPr>
        <b val="true"/>
        <sz val="9"/>
        <color rgb="FF000000"/>
        <rFont val="Noto Sans CJK SC"/>
        <family val="2"/>
      </rPr>
      <t xml:space="preserve">방어구</t>
    </r>
    <r>
      <rPr>
        <b val="true"/>
        <sz val="9"/>
        <color rgb="FF000000"/>
        <rFont val="맑은 고딕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</si>
  <si>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무기 </t>
    </r>
    <r>
      <rPr>
        <sz val="9"/>
        <color rgb="FF000000"/>
        <rFont val="맑은 고딕"/>
        <family val="0"/>
        <charset val="1"/>
      </rPr>
      <t xml:space="preserve">× 2  (</t>
    </r>
    <r>
      <rPr>
        <sz val="9"/>
        <color rgb="FF000000"/>
        <rFont val="Noto Sans CJK SC"/>
        <family val="2"/>
      </rPr>
      <t xml:space="preserve">방어구 목표 시간이 무기의 </t>
    </r>
    <r>
      <rPr>
        <sz val="9"/>
        <color rgb="FF000000"/>
        <rFont val="맑은 고딕"/>
        <family val="0"/>
        <charset val="1"/>
      </rPr>
      <t xml:space="preserve">2</t>
    </r>
    <r>
      <rPr>
        <sz val="9"/>
        <color rgb="FF000000"/>
        <rFont val="Noto Sans CJK SC"/>
        <family val="2"/>
      </rPr>
      <t xml:space="preserve">배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</si>
  <si>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채집물 수량</t>
  </si>
  <si>
    <r>
      <rPr>
        <sz val="9"/>
        <color rgb="FF000000"/>
        <rFont val="Noto Sans CJK SC"/>
        <family val="2"/>
      </rPr>
      <t xml:space="preserve">채집 소요시간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) ÷ </t>
    </r>
    <r>
      <rPr>
        <sz val="9"/>
        <color rgb="FF000000"/>
        <rFont val="Noto Sans CJK SC"/>
        <family val="2"/>
      </rPr>
      <t xml:space="preserve">채집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회시간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) → 10</t>
    </r>
    <r>
      <rPr>
        <sz val="9"/>
        <color rgb="FF000000"/>
        <rFont val="Noto Sans CJK SC"/>
        <family val="2"/>
      </rPr>
      <t xml:space="preserve">단위 반올림</t>
    </r>
  </si>
  <si>
    <t xml:space="preserve">가공물 수량</t>
  </si>
  <si>
    <r>
      <rPr>
        <sz val="9"/>
        <color rgb="FF000000"/>
        <rFont val="Noto Sans CJK SC"/>
        <family val="2"/>
      </rPr>
      <t xml:space="preserve">채집물 </t>
    </r>
    <r>
      <rPr>
        <sz val="9"/>
        <color rgb="FF000000"/>
        <rFont val="맑은 고딕"/>
        <family val="0"/>
        <charset val="1"/>
      </rPr>
      <t xml:space="preserve">÷ 10  (</t>
    </r>
    <r>
      <rPr>
        <sz val="9"/>
        <color rgb="FF000000"/>
        <rFont val="Noto Sans CJK SC"/>
        <family val="2"/>
      </rPr>
      <t xml:space="preserve">채집물 </t>
    </r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개 가공 → 가공물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개</t>
    </r>
    <r>
      <rPr>
        <sz val="9"/>
        <color rgb="FF000000"/>
        <rFont val="맑은 고딕"/>
        <family val="0"/>
        <charset val="1"/>
      </rPr>
      <t xml:space="preserve">)</t>
    </r>
  </si>
  <si>
    <t xml:space="preserve">채집 소요 시간</t>
  </si>
  <si>
    <r>
      <rPr>
        <sz val="9"/>
        <color rgb="FF000000"/>
        <rFont val="Noto Sans CJK SC"/>
        <family val="2"/>
      </rPr>
      <t xml:space="preserve">채집물 </t>
    </r>
    <r>
      <rPr>
        <sz val="9"/>
        <color rgb="FF000000"/>
        <rFont val="맑은 고딕"/>
        <family val="0"/>
        <charset val="1"/>
      </rPr>
      <t xml:space="preserve">× </t>
    </r>
    <r>
      <rPr>
        <sz val="9"/>
        <color rgb="FF000000"/>
        <rFont val="Noto Sans CJK SC"/>
        <family val="2"/>
      </rPr>
      <t xml:space="preserve">채집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회시간</t>
    </r>
    <r>
      <rPr>
        <sz val="9"/>
        <color rgb="FF000000"/>
        <rFont val="맑은 고딕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초</t>
    </r>
    <r>
      <rPr>
        <sz val="9"/>
        <color rgb="FF000000"/>
        <rFont val="맑은 고딕"/>
        <family val="0"/>
        <charset val="1"/>
      </rPr>
      <t xml:space="preserve">)  →  </t>
    </r>
    <r>
      <rPr>
        <sz val="9"/>
        <color rgb="FF000000"/>
        <rFont val="Noto Sans CJK SC"/>
        <family val="2"/>
      </rPr>
      <t xml:space="preserve">파밍 목표 시간의 </t>
    </r>
    <r>
      <rPr>
        <sz val="9"/>
        <color rgb="FF000000"/>
        <rFont val="맑은 고딕"/>
        <family val="0"/>
        <charset val="1"/>
      </rPr>
      <t xml:space="preserve">50%</t>
    </r>
  </si>
  <si>
    <t xml:space="preserve">가공물 적용 범위</t>
  </si>
  <si>
    <r>
      <rPr>
        <sz val="9"/>
        <color rgb="FF000000"/>
        <rFont val="Noto Sans CJK SC"/>
        <family val="2"/>
      </rPr>
      <t xml:space="preserve">전리품 제작 </t>
    </r>
    <r>
      <rPr>
        <sz val="9"/>
        <color rgb="FF000000"/>
        <rFont val="맑은 고딕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코어 제작 구분 없이 동일 수량 적용</t>
    </r>
  </si>
  <si>
    <t xml:space="preserve">장비 아이템 리스트 — 티어 / 획득 방식 / 옵션 전체 목록</t>
  </si>
  <si>
    <t xml:space="preserve">획득 방식을 클릭하면 해당 밸런스 시트로 이동  |  T1: 기본 제작(1패시브)  |  T2: 2패시브  |  T3+: 3패시브</t>
  </si>
  <si>
    <t xml:space="preserve">획득 방식</t>
  </si>
  <si>
    <t xml:space="preserve">재질</t>
  </si>
  <si>
    <t xml:space="preserve">파츠</t>
  </si>
  <si>
    <t xml:space="preserve">패시브 1</t>
  </si>
  <si>
    <t xml:space="preserve">패시브 2</t>
  </si>
  <si>
    <t xml:space="preserve">패시브 3</t>
  </si>
  <si>
    <t xml:space="preserve">비고</t>
  </si>
  <si>
    <t xml:space="preserve">1T</t>
  </si>
  <si>
    <t xml:space="preserve">기본 제작</t>
  </si>
  <si>
    <t xml:space="preserve">판금</t>
  </si>
  <si>
    <t xml:space="preserve">아머</t>
  </si>
  <si>
    <t xml:space="preserve">받는 피해 감소</t>
  </si>
  <si>
    <t xml:space="preserve">채집물만으로 제작 가능</t>
  </si>
  <si>
    <t xml:space="preserve">헬멧</t>
  </si>
  <si>
    <t xml:space="preserve">생명력 자연 회복</t>
  </si>
  <si>
    <t xml:space="preserve">장갑</t>
  </si>
  <si>
    <t xml:space="preserve">최대 생명력</t>
  </si>
  <si>
    <t xml:space="preserve">신발</t>
  </si>
  <si>
    <t xml:space="preserve">방어력</t>
  </si>
  <si>
    <t xml:space="preserve">가죽</t>
  </si>
  <si>
    <t xml:space="preserve">치명타 확률</t>
  </si>
  <si>
    <t xml:space="preserve">공격 속도</t>
  </si>
  <si>
    <t xml:space="preserve">공격력</t>
  </si>
  <si>
    <t xml:space="preserve">천</t>
  </si>
  <si>
    <t xml:space="preserve">최대 마력</t>
  </si>
  <si>
    <t xml:space="preserve">마력 자연 회복</t>
  </si>
  <si>
    <t xml:space="preserve">마나 소모량 감소</t>
  </si>
  <si>
    <t xml:space="preserve">2T</t>
  </si>
  <si>
    <t xml:space="preserve">전리품 제작</t>
  </si>
  <si>
    <r>
      <rPr>
        <i val="true"/>
        <sz val="10"/>
        <color rgb="FF555555"/>
        <rFont val="맑은 고딕"/>
        <family val="2"/>
        <charset val="129"/>
      </rPr>
      <t xml:space="preserve">T2 </t>
    </r>
    <r>
      <rPr>
        <i val="true"/>
        <sz val="10"/>
        <color rgb="FF555555"/>
        <rFont val="Noto Sans CJK SC"/>
        <family val="2"/>
      </rPr>
      <t xml:space="preserve">전리품 필요</t>
    </r>
  </si>
  <si>
    <t xml:space="preserve">스킬 가속</t>
  </si>
  <si>
    <t xml:space="preserve">던전 코어 제작</t>
  </si>
  <si>
    <r>
      <rPr>
        <i val="true"/>
        <sz val="10"/>
        <color rgb="FF555555"/>
        <rFont val="맑은 고딕"/>
        <family val="2"/>
        <charset val="129"/>
      </rPr>
      <t xml:space="preserve">T2 </t>
    </r>
    <r>
      <rPr>
        <i val="true"/>
        <sz val="10"/>
        <color rgb="FF555555"/>
        <rFont val="Noto Sans CJK SC"/>
        <family val="2"/>
      </rPr>
      <t xml:space="preserve">던전 코어 필요</t>
    </r>
  </si>
  <si>
    <t xml:space="preserve">치명타 피해</t>
  </si>
  <si>
    <t xml:space="preserve">보스 드랍</t>
  </si>
  <si>
    <t xml:space="preserve">보스 처치 시 0.5~1% 확률 드랍</t>
  </si>
  <si>
    <t xml:space="preserve">3T</t>
  </si>
  <si>
    <r>
      <rPr>
        <i val="true"/>
        <sz val="10"/>
        <color rgb="FF555555"/>
        <rFont val="맑은 고딕"/>
        <family val="2"/>
        <charset val="129"/>
      </rPr>
      <t xml:space="preserve">T3 </t>
    </r>
    <r>
      <rPr>
        <i val="true"/>
        <sz val="10"/>
        <color rgb="FF555555"/>
        <rFont val="Noto Sans CJK SC"/>
        <family val="2"/>
      </rPr>
      <t xml:space="preserve">전리품 필요</t>
    </r>
  </si>
  <si>
    <t xml:space="preserve">상태이상 저항력</t>
  </si>
  <si>
    <t xml:space="preserve">받는 치유량</t>
  </si>
  <si>
    <r>
      <rPr>
        <sz val="10"/>
        <color rgb="FF1A1A1A"/>
        <rFont val="맑은 고딕"/>
        <family val="2"/>
        <charset val="129"/>
      </rPr>
      <t xml:space="preserve">PVE </t>
    </r>
    <r>
      <rPr>
        <sz val="10"/>
        <color rgb="FF1A1A1A"/>
        <rFont val="Noto Sans CJK SC"/>
        <family val="2"/>
      </rPr>
      <t xml:space="preserve">피해 증가</t>
    </r>
  </si>
  <si>
    <t xml:space="preserve">치유력</t>
  </si>
  <si>
    <r>
      <rPr>
        <i val="true"/>
        <sz val="10"/>
        <color rgb="FF555555"/>
        <rFont val="맑은 고딕"/>
        <family val="2"/>
        <charset val="129"/>
      </rPr>
      <t xml:space="preserve">T3 </t>
    </r>
    <r>
      <rPr>
        <i val="true"/>
        <sz val="10"/>
        <color rgb="FF555555"/>
        <rFont val="Noto Sans CJK SC"/>
        <family val="2"/>
      </rPr>
      <t xml:space="preserve">던전 코어 필요</t>
    </r>
  </si>
  <si>
    <t xml:space="preserve">피해 증가</t>
  </si>
  <si>
    <t xml:space="preserve">📊  티어별 아이템 수</t>
  </si>
  <si>
    <r>
      <rPr>
        <b val="true"/>
        <sz val="10"/>
        <color rgb="FF2E86C1"/>
        <rFont val="맑은 고딕"/>
        <family val="2"/>
        <charset val="129"/>
      </rPr>
      <t xml:space="preserve">1T  :  12</t>
    </r>
    <r>
      <rPr>
        <b val="true"/>
        <sz val="10"/>
        <color rgb="FF2E86C1"/>
        <rFont val="Noto Sans CJK SC"/>
        <family val="2"/>
      </rPr>
      <t xml:space="preserve">개</t>
    </r>
  </si>
  <si>
    <r>
      <rPr>
        <b val="true"/>
        <sz val="10"/>
        <color rgb="FF1A5276"/>
        <rFont val="맑은 고딕"/>
        <family val="2"/>
        <charset val="129"/>
      </rPr>
      <t xml:space="preserve">2T  :  24</t>
    </r>
    <r>
      <rPr>
        <b val="true"/>
        <sz val="10"/>
        <color rgb="FF1A5276"/>
        <rFont val="Noto Sans CJK SC"/>
        <family val="2"/>
      </rPr>
      <t xml:space="preserve">개</t>
    </r>
  </si>
  <si>
    <r>
      <rPr>
        <b val="true"/>
        <sz val="10"/>
        <color rgb="FF1E8449"/>
        <rFont val="맑은 고딕"/>
        <family val="2"/>
        <charset val="129"/>
      </rPr>
      <t xml:space="preserve">3T  :  39</t>
    </r>
    <r>
      <rPr>
        <b val="true"/>
        <sz val="10"/>
        <color rgb="FF1E8449"/>
        <rFont val="Noto Sans CJK SC"/>
        <family val="2"/>
      </rPr>
      <t xml:space="preserve">개</t>
    </r>
  </si>
  <si>
    <t xml:space="preserve">📊  획득방식별 아이템 수</t>
  </si>
  <si>
    <t xml:space="preserve">기본 제작  :  12개</t>
  </si>
  <si>
    <t xml:space="preserve">전리품 제작  :  21개</t>
  </si>
  <si>
    <t xml:space="preserve">던전 코어 제작  :  21개</t>
  </si>
  <si>
    <t xml:space="preserve">보스 드랍  :  21개</t>
  </si>
  <si>
    <t xml:space="preserve">전리품 제작 밸런스 — 티어별 재료 수량</t>
  </si>
  <si>
    <r>
      <rPr>
        <sz val="9"/>
        <color rgb="FF1B3A5C"/>
        <rFont val="Noto Sans CJK SC"/>
        <family val="2"/>
      </rPr>
      <t xml:space="preserve">전리품</t>
    </r>
    <r>
      <rPr>
        <sz val="9"/>
        <color rgb="FF1B3A5C"/>
        <rFont val="맑은 고딕"/>
        <family val="0"/>
        <charset val="1"/>
      </rPr>
      <t xml:space="preserve">(53xx) : </t>
    </r>
    <r>
      <rPr>
        <sz val="9"/>
        <color rgb="FF1B3A5C"/>
        <rFont val="Noto Sans CJK SC"/>
        <family val="2"/>
      </rPr>
      <t xml:space="preserve">필드 드랍 </t>
    </r>
    <r>
      <rPr>
        <sz val="9"/>
        <color rgb="FF1B3A5C"/>
        <rFont val="맑은 고딕"/>
        <family val="0"/>
        <charset val="1"/>
      </rPr>
      <t xml:space="preserve">15%  |  </t>
    </r>
    <r>
      <rPr>
        <sz val="9"/>
        <color rgb="FF1B3A5C"/>
        <rFont val="Noto Sans CJK SC"/>
        <family val="2"/>
      </rPr>
      <t xml:space="preserve">가공물</t>
    </r>
    <r>
      <rPr>
        <sz val="9"/>
        <color rgb="FF1B3A5C"/>
        <rFont val="맑은 고딕"/>
        <family val="0"/>
        <charset val="1"/>
      </rPr>
      <t xml:space="preserve">(52xx) : </t>
    </r>
    <r>
      <rPr>
        <sz val="9"/>
        <color rgb="FF1B3A5C"/>
        <rFont val="Noto Sans CJK SC"/>
        <family val="2"/>
      </rPr>
      <t xml:space="preserve">채집물 </t>
    </r>
    <r>
      <rPr>
        <sz val="9"/>
        <color rgb="FF1B3A5C"/>
        <rFont val="맑은 고딕"/>
        <family val="0"/>
        <charset val="1"/>
      </rPr>
      <t xml:space="preserve">10</t>
    </r>
    <r>
      <rPr>
        <sz val="9"/>
        <color rgb="FF1B3A5C"/>
        <rFont val="Noto Sans CJK SC"/>
        <family val="2"/>
      </rPr>
      <t xml:space="preserve">개 가공  </t>
    </r>
    <r>
      <rPr>
        <sz val="9"/>
        <color rgb="FF1B3A5C"/>
        <rFont val="맑은 고딕"/>
        <family val="0"/>
        <charset val="1"/>
      </rPr>
      <t xml:space="preserve">|  </t>
    </r>
    <r>
      <rPr>
        <sz val="9"/>
        <color rgb="FF1B3A5C"/>
        <rFont val="Noto Sans CJK SC"/>
        <family val="2"/>
      </rPr>
      <t xml:space="preserve">하우징</t>
    </r>
    <r>
      <rPr>
        <sz val="9"/>
        <color rgb="FF1B3A5C"/>
        <rFont val="맑은 고딕"/>
        <family val="0"/>
        <charset val="1"/>
      </rPr>
      <t xml:space="preserve">: </t>
    </r>
    <r>
      <rPr>
        <sz val="9"/>
        <color rgb="FF1B3A5C"/>
        <rFont val="Noto Sans CJK SC"/>
        <family val="2"/>
      </rPr>
      <t xml:space="preserve">채집물 자동 수확 — 일반 </t>
    </r>
    <r>
      <rPr>
        <sz val="9"/>
        <color rgb="FF1B3A5C"/>
        <rFont val="맑은 고딕"/>
        <family val="0"/>
        <charset val="1"/>
      </rPr>
      <t xml:space="preserve">10</t>
    </r>
    <r>
      <rPr>
        <sz val="9"/>
        <color rgb="FF1B3A5C"/>
        <rFont val="Noto Sans CJK SC"/>
        <family val="2"/>
      </rPr>
      <t xml:space="preserve">개</t>
    </r>
    <r>
      <rPr>
        <sz val="9"/>
        <color rgb="FF1B3A5C"/>
        <rFont val="맑은 고딕"/>
        <family val="0"/>
        <charset val="1"/>
      </rPr>
      <t xml:space="preserve">/</t>
    </r>
    <r>
      <rPr>
        <sz val="9"/>
        <color rgb="FF1B3A5C"/>
        <rFont val="Noto Sans CJK SC"/>
        <family val="2"/>
      </rPr>
      <t xml:space="preserve">일 </t>
    </r>
    <r>
      <rPr>
        <sz val="9"/>
        <color rgb="FF1B3A5C"/>
        <rFont val="맑은 고딕"/>
        <family val="0"/>
        <charset val="1"/>
      </rPr>
      <t xml:space="preserve">· </t>
    </r>
    <r>
      <rPr>
        <sz val="9"/>
        <color rgb="FF1B3A5C"/>
        <rFont val="Noto Sans CJK SC"/>
        <family val="2"/>
      </rPr>
      <t xml:space="preserve">프리미엄 </t>
    </r>
    <r>
      <rPr>
        <sz val="9"/>
        <color rgb="FF1B3A5C"/>
        <rFont val="맑은 고딕"/>
        <family val="0"/>
        <charset val="1"/>
      </rPr>
      <t xml:space="preserve">100</t>
    </r>
    <r>
      <rPr>
        <sz val="9"/>
        <color rgb="FF1B3A5C"/>
        <rFont val="Noto Sans CJK SC"/>
        <family val="2"/>
      </rPr>
      <t xml:space="preserve">개</t>
    </r>
    <r>
      <rPr>
        <sz val="9"/>
        <color rgb="FF1B3A5C"/>
        <rFont val="맑은 고딕"/>
        <family val="0"/>
        <charset val="1"/>
      </rPr>
      <t xml:space="preserve">/</t>
    </r>
    <r>
      <rPr>
        <sz val="9"/>
        <color rgb="FF1B3A5C"/>
        <rFont val="Noto Sans CJK SC"/>
        <family val="2"/>
      </rPr>
      <t xml:space="preserve">일</t>
    </r>
  </si>
  <si>
    <t xml:space="preserve">무기
목표</t>
  </si>
  <si>
    <t xml:space="preserve">방어구
목표</t>
  </si>
  <si>
    <t xml:space="preserve">가공물</t>
  </si>
  <si>
    <r>
      <rPr>
        <b val="true"/>
        <sz val="9"/>
        <color rgb="FFFFFFFF"/>
        <rFont val="Noto Sans CJK SC"/>
        <family val="2"/>
      </rPr>
      <t xml:space="preserve">채집만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순채집 시간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</si>
  <si>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r>
      <rPr>
        <b val="true"/>
        <sz val="8"/>
        <color rgb="FFFFFFFF"/>
        <rFont val="맑은 고딕"/>
        <family val="0"/>
        <charset val="1"/>
      </rPr>
      <t xml:space="preserve">🌿 +</t>
    </r>
    <r>
      <rPr>
        <b val="true"/>
        <sz val="8"/>
        <color rgb="FFFFFFFF"/>
        <rFont val="Noto Sans CJK SC"/>
        <family val="2"/>
      </rPr>
      <t xml:space="preserve">일반 하우징
</t>
    </r>
    <r>
      <rPr>
        <b val="true"/>
        <sz val="8"/>
        <color rgb="FFFFFFFF"/>
        <rFont val="맑은 고딕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밭</t>
    </r>
    <r>
      <rPr>
        <b val="true"/>
        <sz val="8"/>
        <color rgb="FFFFFFFF"/>
        <rFont val="맑은 고딕"/>
        <family val="0"/>
        <charset val="1"/>
      </rPr>
      <t xml:space="preserve">1</t>
    </r>
    <r>
      <rPr>
        <b val="true"/>
        <sz val="8"/>
        <color rgb="FFFFFFFF"/>
        <rFont val="Noto Sans CJK SC"/>
        <family val="2"/>
      </rPr>
      <t xml:space="preserve">개</t>
    </r>
    <r>
      <rPr>
        <b val="true"/>
        <sz val="8"/>
        <color rgb="FFFFFFFF"/>
        <rFont val="맑은 고딕"/>
        <family val="0"/>
        <charset val="1"/>
      </rPr>
      <t xml:space="preserve">·</t>
    </r>
    <r>
      <rPr>
        <b val="true"/>
        <sz val="8"/>
        <color rgb="FFFFFFFF"/>
        <rFont val="Noto Sans CJK SC"/>
        <family val="2"/>
      </rPr>
      <t xml:space="preserve">채집물 </t>
    </r>
    <r>
      <rPr>
        <b val="true"/>
        <sz val="8"/>
        <color rgb="FFFFFFFF"/>
        <rFont val="맑은 고딕"/>
        <family val="0"/>
        <charset val="1"/>
      </rPr>
      <t xml:space="preserve">10</t>
    </r>
    <r>
      <rPr>
        <b val="true"/>
        <sz val="8"/>
        <color rgb="FFFFFFFF"/>
        <rFont val="Noto Sans CJK SC"/>
        <family val="2"/>
      </rPr>
      <t xml:space="preserve">개</t>
    </r>
    <r>
      <rPr>
        <b val="true"/>
        <sz val="8"/>
        <color rgb="FFFFFFFF"/>
        <rFont val="맑은 고딕"/>
        <family val="0"/>
        <charset val="1"/>
      </rPr>
      <t xml:space="preserve">/</t>
    </r>
    <r>
      <rPr>
        <b val="true"/>
        <sz val="8"/>
        <color rgb="FFFFFFFF"/>
        <rFont val="Noto Sans CJK SC"/>
        <family val="2"/>
      </rPr>
      <t xml:space="preserve">일</t>
    </r>
    <r>
      <rPr>
        <b val="true"/>
        <sz val="8"/>
        <color rgb="FFFFFFFF"/>
        <rFont val="맑은 고딕"/>
        <family val="0"/>
        <charset val="1"/>
      </rPr>
      <t xml:space="preserve">)</t>
    </r>
  </si>
  <si>
    <r>
      <rPr>
        <b val="true"/>
        <sz val="8"/>
        <color rgb="FFFFFFFF"/>
        <rFont val="맑은 고딕"/>
        <family val="0"/>
        <charset val="1"/>
      </rPr>
      <t xml:space="preserve">⭐ +</t>
    </r>
    <r>
      <rPr>
        <b val="true"/>
        <sz val="8"/>
        <color rgb="FFFFFFFF"/>
        <rFont val="Noto Sans CJK SC"/>
        <family val="2"/>
      </rPr>
      <t xml:space="preserve">프리미엄 하우징
</t>
    </r>
    <r>
      <rPr>
        <b val="true"/>
        <sz val="8"/>
        <color rgb="FFFFFFFF"/>
        <rFont val="맑은 고딕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밭</t>
    </r>
    <r>
      <rPr>
        <b val="true"/>
        <sz val="8"/>
        <color rgb="FFFFFFFF"/>
        <rFont val="맑은 고딕"/>
        <family val="0"/>
        <charset val="1"/>
      </rPr>
      <t xml:space="preserve">10</t>
    </r>
    <r>
      <rPr>
        <b val="true"/>
        <sz val="8"/>
        <color rgb="FFFFFFFF"/>
        <rFont val="Noto Sans CJK SC"/>
        <family val="2"/>
      </rPr>
      <t xml:space="preserve">개</t>
    </r>
    <r>
      <rPr>
        <b val="true"/>
        <sz val="8"/>
        <color rgb="FFFFFFFF"/>
        <rFont val="맑은 고딕"/>
        <family val="0"/>
        <charset val="1"/>
      </rPr>
      <t xml:space="preserve">·</t>
    </r>
    <r>
      <rPr>
        <b val="true"/>
        <sz val="8"/>
        <color rgb="FFFFFFFF"/>
        <rFont val="Noto Sans CJK SC"/>
        <family val="2"/>
      </rPr>
      <t xml:space="preserve">채집물 </t>
    </r>
    <r>
      <rPr>
        <b val="true"/>
        <sz val="8"/>
        <color rgb="FFFFFFFF"/>
        <rFont val="맑은 고딕"/>
        <family val="0"/>
        <charset val="1"/>
      </rPr>
      <t xml:space="preserve">100</t>
    </r>
    <r>
      <rPr>
        <b val="true"/>
        <sz val="8"/>
        <color rgb="FFFFFFFF"/>
        <rFont val="Noto Sans CJK SC"/>
        <family val="2"/>
      </rPr>
      <t xml:space="preserve">개</t>
    </r>
    <r>
      <rPr>
        <b val="true"/>
        <sz val="8"/>
        <color rgb="FFFFFFFF"/>
        <rFont val="맑은 고딕"/>
        <family val="0"/>
        <charset val="1"/>
      </rPr>
      <t xml:space="preserve">/</t>
    </r>
    <r>
      <rPr>
        <b val="true"/>
        <sz val="8"/>
        <color rgb="FFFFFFFF"/>
        <rFont val="Noto Sans CJK SC"/>
        <family val="2"/>
      </rPr>
      <t xml:space="preserve">일</t>
    </r>
    <r>
      <rPr>
        <b val="true"/>
        <sz val="8"/>
        <color rgb="FFFFFFFF"/>
        <rFont val="맑은 고딕"/>
        <family val="0"/>
        <charset val="1"/>
      </rPr>
      <t xml:space="preserve">)</t>
    </r>
  </si>
  <si>
    <r>
      <rPr>
        <b val="true"/>
        <sz val="8"/>
        <color rgb="FFFFFFFF"/>
        <rFont val="Noto Sans CJK SC"/>
        <family val="2"/>
      </rPr>
      <t xml:space="preserve">병행 시 절감 시간
</t>
    </r>
    <r>
      <rPr>
        <b val="true"/>
        <sz val="8"/>
        <color rgb="FFFFFFFF"/>
        <rFont val="맑은 고딕"/>
        <family val="0"/>
        <charset val="1"/>
      </rPr>
      <t xml:space="preserve">(</t>
    </r>
    <r>
      <rPr>
        <b val="true"/>
        <sz val="8"/>
        <color rgb="FFFFFFFF"/>
        <rFont val="Noto Sans CJK SC"/>
        <family val="2"/>
      </rPr>
      <t xml:space="preserve">단축량 </t>
    </r>
    <r>
      <rPr>
        <b val="true"/>
        <sz val="8"/>
        <color rgb="FFFFFFFF"/>
        <rFont val="맑은 고딕"/>
        <family val="0"/>
        <charset val="1"/>
      </rPr>
      <t xml:space="preserve">&amp; </t>
    </r>
    <r>
      <rPr>
        <b val="true"/>
        <sz val="8"/>
        <color rgb="FFFFFFFF"/>
        <rFont val="Noto Sans CJK SC"/>
        <family val="2"/>
      </rPr>
      <t xml:space="preserve">비율</t>
    </r>
    <r>
      <rPr>
        <b val="true"/>
        <sz val="8"/>
        <color rgb="FFFFFFFF"/>
        <rFont val="맑은 고딕"/>
        <family val="0"/>
        <charset val="1"/>
      </rPr>
      <t xml:space="preserve">)</t>
    </r>
  </si>
  <si>
    <r>
      <rPr>
        <sz val="10"/>
        <color rgb="FF000000"/>
        <rFont val="맑은 고딕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분</t>
    </r>
  </si>
  <si>
    <t xml:space="preserve">효과 미미</t>
  </si>
  <si>
    <r>
      <rPr>
        <sz val="9"/>
        <color rgb="FF000000"/>
        <rFont val="맑은 고딕"/>
        <family val="0"/>
        <charset val="1"/>
      </rPr>
      <t xml:space="preserve">▲ -1</t>
    </r>
    <r>
      <rPr>
        <sz val="9"/>
        <color rgb="FF000000"/>
        <rFont val="Noto Sans CJK SC"/>
        <family val="2"/>
      </rPr>
      <t xml:space="preserve">초 </t>
    </r>
    <r>
      <rPr>
        <sz val="9"/>
        <color rgb="FF000000"/>
        <rFont val="맑은 고딕"/>
        <family val="0"/>
        <charset val="1"/>
      </rPr>
      <t xml:space="preserve">(0.3%↓)</t>
    </r>
  </si>
  <si>
    <r>
      <rPr>
        <sz val="9"/>
        <color rgb="FF000000"/>
        <rFont val="맑은 고딕"/>
        <family val="0"/>
        <charset val="1"/>
      </rPr>
      <t xml:space="preserve">T1</t>
    </r>
    <r>
      <rPr>
        <sz val="9"/>
        <color rgb="FF000000"/>
        <rFont val="Noto Sans CJK SC"/>
        <family val="2"/>
      </rPr>
      <t xml:space="preserve">은 전리품 없음</t>
    </r>
  </si>
  <si>
    <r>
      <rPr>
        <sz val="10"/>
        <color rgb="FF000000"/>
        <rFont val="맑은 고딕"/>
        <family val="0"/>
        <charset val="1"/>
      </rPr>
      <t xml:space="preserve">10.1</t>
    </r>
    <r>
      <rPr>
        <sz val="10"/>
        <color rgb="FF000000"/>
        <rFont val="Noto Sans CJK SC"/>
        <family val="2"/>
      </rPr>
      <t xml:space="preserve">분</t>
    </r>
  </si>
  <si>
    <r>
      <rPr>
        <sz val="9"/>
        <color rgb="FF000000"/>
        <rFont val="맑은 고딕"/>
        <family val="0"/>
        <charset val="1"/>
      </rPr>
      <t xml:space="preserve">▲ -3</t>
    </r>
    <r>
      <rPr>
        <sz val="9"/>
        <color rgb="FF000000"/>
        <rFont val="Noto Sans CJK SC"/>
        <family val="2"/>
      </rPr>
      <t xml:space="preserve">초 </t>
    </r>
    <r>
      <rPr>
        <sz val="9"/>
        <color rgb="FF000000"/>
        <rFont val="맑은 고딕"/>
        <family val="0"/>
        <charset val="1"/>
      </rPr>
      <t xml:space="preserve">(0.5%↓)</t>
    </r>
  </si>
  <si>
    <r>
      <rPr>
        <sz val="9"/>
        <color rgb="FF000000"/>
        <rFont val="Noto Sans CJK SC"/>
        <family val="2"/>
      </rPr>
      <t xml:space="preserve">사냥 </t>
    </r>
    <r>
      <rPr>
        <sz val="9"/>
        <color rgb="FF000000"/>
        <rFont val="맑은 고딕"/>
        <family val="0"/>
        <charset val="1"/>
      </rPr>
      <t xml:space="preserve">20</t>
    </r>
    <r>
      <rPr>
        <sz val="9"/>
        <color rgb="FF000000"/>
        <rFont val="Noto Sans CJK SC"/>
        <family val="2"/>
      </rPr>
      <t xml:space="preserve">분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분</t>
    </r>
  </si>
  <si>
    <r>
      <rPr>
        <sz val="10"/>
        <color rgb="FF000000"/>
        <rFont val="맑은 고딕"/>
        <family val="0"/>
        <charset val="1"/>
      </rPr>
      <t xml:space="preserve">29.9</t>
    </r>
    <r>
      <rPr>
        <sz val="10"/>
        <color rgb="FF000000"/>
        <rFont val="Noto Sans CJK SC"/>
        <family val="2"/>
      </rPr>
      <t xml:space="preserve">분</t>
    </r>
  </si>
  <si>
    <r>
      <rPr>
        <sz val="9"/>
        <color rgb="FF000000"/>
        <rFont val="맑은 고딕"/>
        <family val="0"/>
        <charset val="1"/>
      </rPr>
      <t xml:space="preserve">▲ -15</t>
    </r>
    <r>
      <rPr>
        <sz val="9"/>
        <color rgb="FF000000"/>
        <rFont val="Noto Sans CJK SC"/>
        <family val="2"/>
      </rPr>
      <t xml:space="preserve">초 </t>
    </r>
    <r>
      <rPr>
        <sz val="9"/>
        <color rgb="FF000000"/>
        <rFont val="맑은 고딕"/>
        <family val="0"/>
        <charset val="1"/>
      </rPr>
      <t xml:space="preserve">(0.9%↓)</t>
    </r>
  </si>
  <si>
    <r>
      <rPr>
        <sz val="9"/>
        <color rgb="FF000000"/>
        <rFont val="Noto Sans CJK SC"/>
        <family val="2"/>
      </rPr>
      <t xml:space="preserve">사냥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시간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30</t>
    </r>
    <r>
      <rPr>
        <sz val="9"/>
        <color rgb="FF000000"/>
        <rFont val="Noto Sans CJK SC"/>
        <family val="2"/>
      </rPr>
      <t xml:space="preserve">분</t>
    </r>
  </si>
  <si>
    <r>
      <rPr>
        <sz val="10"/>
        <color rgb="FF000000"/>
        <rFont val="맑은 고딕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시간</t>
    </r>
  </si>
  <si>
    <r>
      <rPr>
        <sz val="9"/>
        <color rgb="FF000000"/>
        <rFont val="맑은 고딕"/>
        <family val="0"/>
        <charset val="1"/>
      </rPr>
      <t xml:space="preserve">▲ -16</t>
    </r>
    <r>
      <rPr>
        <sz val="9"/>
        <color rgb="FF000000"/>
        <rFont val="Noto Sans CJK SC"/>
        <family val="2"/>
      </rPr>
      <t xml:space="preserve">초 </t>
    </r>
    <r>
      <rPr>
        <sz val="9"/>
        <color rgb="FF000000"/>
        <rFont val="맑은 고딕"/>
        <family val="0"/>
        <charset val="1"/>
      </rPr>
      <t xml:space="preserve">(0.2%↓)</t>
    </r>
  </si>
  <si>
    <r>
      <rPr>
        <sz val="9"/>
        <color rgb="FF000000"/>
        <rFont val="맑은 고딕"/>
        <family val="0"/>
        <charset val="1"/>
      </rPr>
      <t xml:space="preserve">▲ -2.6</t>
    </r>
    <r>
      <rPr>
        <sz val="9"/>
        <color rgb="FF000000"/>
        <rFont val="Noto Sans CJK SC"/>
        <family val="2"/>
      </rPr>
      <t xml:space="preserve">분 </t>
    </r>
    <r>
      <rPr>
        <sz val="9"/>
        <color rgb="FF000000"/>
        <rFont val="맑은 고딕"/>
        <family val="0"/>
        <charset val="1"/>
      </rPr>
      <t xml:space="preserve">(1.8%↓)</t>
    </r>
  </si>
  <si>
    <r>
      <rPr>
        <sz val="9"/>
        <color rgb="FF000000"/>
        <rFont val="Noto Sans CJK SC"/>
        <family val="2"/>
      </rPr>
      <t xml:space="preserve">사냥 </t>
    </r>
    <r>
      <rPr>
        <sz val="9"/>
        <color rgb="FF000000"/>
        <rFont val="맑은 고딕"/>
        <family val="0"/>
        <charset val="1"/>
      </rPr>
      <t xml:space="preserve">5</t>
    </r>
    <r>
      <rPr>
        <sz val="9"/>
        <color rgb="FF000000"/>
        <rFont val="Noto Sans CJK SC"/>
        <family val="2"/>
      </rPr>
      <t xml:space="preserve">시간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2.5</t>
    </r>
    <r>
      <rPr>
        <sz val="9"/>
        <color rgb="FF000000"/>
        <rFont val="Noto Sans CJK SC"/>
        <family val="2"/>
      </rPr>
      <t xml:space="preserve">시간</t>
    </r>
  </si>
  <si>
    <r>
      <rPr>
        <sz val="10"/>
        <color rgb="FF000000"/>
        <rFont val="맑은 고딕"/>
        <family val="0"/>
        <charset val="1"/>
      </rPr>
      <t xml:space="preserve">12.5</t>
    </r>
    <r>
      <rPr>
        <sz val="10"/>
        <color rgb="FF000000"/>
        <rFont val="Noto Sans CJK SC"/>
        <family val="2"/>
      </rPr>
      <t xml:space="preserve">시간</t>
    </r>
  </si>
  <si>
    <r>
      <rPr>
        <sz val="9"/>
        <color rgb="FF000000"/>
        <rFont val="맑은 고딕"/>
        <family val="0"/>
        <charset val="1"/>
      </rPr>
      <t xml:space="preserve">▲ -3.3</t>
    </r>
    <r>
      <rPr>
        <sz val="9"/>
        <color rgb="FF000000"/>
        <rFont val="Noto Sans CJK SC"/>
        <family val="2"/>
      </rPr>
      <t xml:space="preserve">분 </t>
    </r>
    <r>
      <rPr>
        <sz val="9"/>
        <color rgb="FF000000"/>
        <rFont val="맑은 고딕"/>
        <family val="0"/>
        <charset val="1"/>
      </rPr>
      <t xml:space="preserve">(0.4%↓)</t>
    </r>
  </si>
  <si>
    <r>
      <rPr>
        <sz val="9"/>
        <color rgb="FF000000"/>
        <rFont val="맑은 고딕"/>
        <family val="0"/>
        <charset val="1"/>
      </rPr>
      <t xml:space="preserve">▲ -32.1</t>
    </r>
    <r>
      <rPr>
        <sz val="9"/>
        <color rgb="FF000000"/>
        <rFont val="Noto Sans CJK SC"/>
        <family val="2"/>
      </rPr>
      <t xml:space="preserve">분 </t>
    </r>
    <r>
      <rPr>
        <sz val="9"/>
        <color rgb="FF000000"/>
        <rFont val="맑은 고딕"/>
        <family val="0"/>
        <charset val="1"/>
      </rPr>
      <t xml:space="preserve">(4.3%↓)</t>
    </r>
  </si>
  <si>
    <r>
      <rPr>
        <sz val="9"/>
        <color rgb="FF000000"/>
        <rFont val="Noto Sans CJK SC"/>
        <family val="2"/>
      </rPr>
      <t xml:space="preserve">사냥 </t>
    </r>
    <r>
      <rPr>
        <sz val="9"/>
        <color rgb="FF000000"/>
        <rFont val="맑은 고딕"/>
        <family val="0"/>
        <charset val="1"/>
      </rPr>
      <t xml:space="preserve">25</t>
    </r>
    <r>
      <rPr>
        <sz val="9"/>
        <color rgb="FF000000"/>
        <rFont val="Noto Sans CJK SC"/>
        <family val="2"/>
      </rPr>
      <t xml:space="preserve">시간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12.5</t>
    </r>
    <r>
      <rPr>
        <sz val="9"/>
        <color rgb="FF000000"/>
        <rFont val="Noto Sans CJK SC"/>
        <family val="2"/>
      </rPr>
      <t xml:space="preserve">시간</t>
    </r>
  </si>
  <si>
    <r>
      <rPr>
        <sz val="10"/>
        <color rgb="FF000000"/>
        <rFont val="맑은 고딕"/>
        <family val="0"/>
        <charset val="1"/>
      </rPr>
      <t xml:space="preserve">2.6</t>
    </r>
    <r>
      <rPr>
        <sz val="10"/>
        <color rgb="FF000000"/>
        <rFont val="Noto Sans CJK SC"/>
        <family val="2"/>
      </rPr>
      <t xml:space="preserve">일</t>
    </r>
  </si>
  <si>
    <r>
      <rPr>
        <sz val="9"/>
        <color rgb="FF000000"/>
        <rFont val="맑은 고딕"/>
        <family val="0"/>
        <charset val="1"/>
      </rPr>
      <t xml:space="preserve">▲ -49.4</t>
    </r>
    <r>
      <rPr>
        <sz val="9"/>
        <color rgb="FF000000"/>
        <rFont val="Noto Sans CJK SC"/>
        <family val="2"/>
      </rPr>
      <t xml:space="preserve">분 </t>
    </r>
    <r>
      <rPr>
        <sz val="9"/>
        <color rgb="FF000000"/>
        <rFont val="맑은 고딕"/>
        <family val="0"/>
        <charset val="1"/>
      </rPr>
      <t xml:space="preserve">(1.3%↓)</t>
    </r>
  </si>
  <si>
    <r>
      <rPr>
        <sz val="9"/>
        <color rgb="FF000000"/>
        <rFont val="맑은 고딕"/>
        <family val="0"/>
        <charset val="1"/>
      </rPr>
      <t xml:space="preserve">▲ -7.4</t>
    </r>
    <r>
      <rPr>
        <sz val="9"/>
        <color rgb="FF000000"/>
        <rFont val="Noto Sans CJK SC"/>
        <family val="2"/>
      </rPr>
      <t xml:space="preserve">시간 </t>
    </r>
    <r>
      <rPr>
        <sz val="9"/>
        <color rgb="FF000000"/>
        <rFont val="맑은 고딕"/>
        <family val="0"/>
        <charset val="1"/>
      </rPr>
      <t xml:space="preserve">(11.7%↓)</t>
    </r>
  </si>
  <si>
    <r>
      <rPr>
        <sz val="9"/>
        <color rgb="FF000000"/>
        <rFont val="Noto Sans CJK SC"/>
        <family val="2"/>
      </rPr>
      <t xml:space="preserve">사냥 </t>
    </r>
    <r>
      <rPr>
        <sz val="9"/>
        <color rgb="FF000000"/>
        <rFont val="맑은 고딕"/>
        <family val="0"/>
        <charset val="1"/>
      </rPr>
      <t xml:space="preserve">125</t>
    </r>
    <r>
      <rPr>
        <sz val="9"/>
        <color rgb="FF000000"/>
        <rFont val="Noto Sans CJK SC"/>
        <family val="2"/>
      </rPr>
      <t xml:space="preserve">시간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62.5</t>
    </r>
    <r>
      <rPr>
        <sz val="9"/>
        <color rgb="FF000000"/>
        <rFont val="Noto Sans CJK SC"/>
        <family val="2"/>
      </rPr>
      <t xml:space="preserve">시간</t>
    </r>
  </si>
  <si>
    <r>
      <rPr>
        <sz val="10"/>
        <color rgb="FF000000"/>
        <rFont val="맑은 고딕"/>
        <family val="0"/>
        <charset val="1"/>
      </rPr>
      <t xml:space="preserve">13.0</t>
    </r>
    <r>
      <rPr>
        <sz val="10"/>
        <color rgb="FF000000"/>
        <rFont val="Noto Sans CJK SC"/>
        <family val="2"/>
      </rPr>
      <t xml:space="preserve">일</t>
    </r>
  </si>
  <si>
    <r>
      <rPr>
        <sz val="9"/>
        <color rgb="FF000000"/>
        <rFont val="맑은 고딕"/>
        <family val="0"/>
        <charset val="1"/>
      </rPr>
      <t xml:space="preserve">▲ -14.2</t>
    </r>
    <r>
      <rPr>
        <sz val="9"/>
        <color rgb="FF000000"/>
        <rFont val="Noto Sans CJK SC"/>
        <family val="2"/>
      </rPr>
      <t xml:space="preserve">시간 </t>
    </r>
    <r>
      <rPr>
        <sz val="9"/>
        <color rgb="FF000000"/>
        <rFont val="맑은 고딕"/>
        <family val="0"/>
        <charset val="1"/>
      </rPr>
      <t xml:space="preserve">(4.6%↓)</t>
    </r>
  </si>
  <si>
    <r>
      <rPr>
        <sz val="9"/>
        <color rgb="FF000000"/>
        <rFont val="맑은 고딕"/>
        <family val="0"/>
        <charset val="1"/>
      </rPr>
      <t xml:space="preserve">▲ -4.2</t>
    </r>
    <r>
      <rPr>
        <sz val="9"/>
        <color rgb="FF000000"/>
        <rFont val="Noto Sans CJK SC"/>
        <family val="2"/>
      </rPr>
      <t xml:space="preserve">일 </t>
    </r>
    <r>
      <rPr>
        <sz val="9"/>
        <color rgb="FF000000"/>
        <rFont val="맑은 고딕"/>
        <family val="0"/>
        <charset val="1"/>
      </rPr>
      <t xml:space="preserve">(32.3%↓)</t>
    </r>
  </si>
  <si>
    <r>
      <rPr>
        <sz val="9"/>
        <color rgb="FF000000"/>
        <rFont val="Noto Sans CJK SC"/>
        <family val="2"/>
      </rPr>
      <t xml:space="preserve">사냥 </t>
    </r>
    <r>
      <rPr>
        <sz val="9"/>
        <color rgb="FF000000"/>
        <rFont val="맑은 고딕"/>
        <family val="0"/>
        <charset val="1"/>
      </rPr>
      <t xml:space="preserve">625</t>
    </r>
    <r>
      <rPr>
        <sz val="9"/>
        <color rgb="FF000000"/>
        <rFont val="Noto Sans CJK SC"/>
        <family val="2"/>
      </rPr>
      <t xml:space="preserve">시간 </t>
    </r>
    <r>
      <rPr>
        <sz val="9"/>
        <color rgb="FF000000"/>
        <rFont val="맑은 고딕"/>
        <family val="0"/>
        <charset val="1"/>
      </rPr>
      <t xml:space="preserve">+ </t>
    </r>
    <r>
      <rPr>
        <sz val="9"/>
        <color rgb="FF000000"/>
        <rFont val="Noto Sans CJK SC"/>
        <family val="2"/>
      </rPr>
      <t xml:space="preserve">채집 </t>
    </r>
    <r>
      <rPr>
        <sz val="9"/>
        <color rgb="FF000000"/>
        <rFont val="맑은 고딕"/>
        <family val="0"/>
        <charset val="1"/>
      </rPr>
      <t xml:space="preserve">312.5</t>
    </r>
    <r>
      <rPr>
        <sz val="9"/>
        <color rgb="FF000000"/>
        <rFont val="Noto Sans CJK SC"/>
        <family val="2"/>
      </rPr>
      <t xml:space="preserve">시간</t>
    </r>
  </si>
  <si>
    <t xml:space="preserve">던전 코어 제작 밸런스 — 티어별 재료 수량 및 달성 기간</t>
  </si>
  <si>
    <r>
      <rPr>
        <sz val="9"/>
        <color rgb="FF1A3A4A"/>
        <rFont val="Noto Sans CJK SC"/>
        <family val="2"/>
      </rPr>
      <t xml:space="preserve">코어</t>
    </r>
    <r>
      <rPr>
        <sz val="9"/>
        <color rgb="FF1A3A4A"/>
        <rFont val="맑은 고딕"/>
        <family val="0"/>
        <charset val="1"/>
      </rPr>
      <t xml:space="preserve">(53xx) : </t>
    </r>
    <r>
      <rPr>
        <sz val="9"/>
        <color rgb="FF1A3A4A"/>
        <rFont val="Noto Sans CJK SC"/>
        <family val="2"/>
      </rPr>
      <t xml:space="preserve">던전 </t>
    </r>
    <r>
      <rPr>
        <sz val="9"/>
        <color rgb="FF1A3A4A"/>
        <rFont val="맑은 고딕"/>
        <family val="0"/>
        <charset val="1"/>
      </rPr>
      <t xml:space="preserve">100% </t>
    </r>
    <r>
      <rPr>
        <sz val="9"/>
        <color rgb="FF1A3A4A"/>
        <rFont val="Noto Sans CJK SC"/>
        <family val="2"/>
      </rPr>
      <t xml:space="preserve">확정 드랍</t>
    </r>
    <r>
      <rPr>
        <sz val="9"/>
        <color rgb="FF1A3A4A"/>
        <rFont val="맑은 고딕"/>
        <family val="0"/>
        <charset val="1"/>
      </rPr>
      <t xml:space="preserve">, 3~7</t>
    </r>
    <r>
      <rPr>
        <sz val="9"/>
        <color rgb="FF1A3A4A"/>
        <rFont val="Noto Sans CJK SC"/>
        <family val="2"/>
      </rPr>
      <t xml:space="preserve">개 랜덤</t>
    </r>
    <r>
      <rPr>
        <sz val="9"/>
        <color rgb="FF1A3A4A"/>
        <rFont val="맑은 고딕"/>
        <family val="0"/>
        <charset val="1"/>
      </rPr>
      <t xml:space="preserve">(</t>
    </r>
    <r>
      <rPr>
        <sz val="9"/>
        <color rgb="FF1A3A4A"/>
        <rFont val="Noto Sans CJK SC"/>
        <family val="2"/>
      </rPr>
      <t xml:space="preserve">평균 </t>
    </r>
    <r>
      <rPr>
        <sz val="9"/>
        <color rgb="FF1A3A4A"/>
        <rFont val="맑은 고딕"/>
        <family val="0"/>
        <charset val="1"/>
      </rPr>
      <t xml:space="preserve">5</t>
    </r>
    <r>
      <rPr>
        <sz val="9"/>
        <color rgb="FF1A3A4A"/>
        <rFont val="Noto Sans CJK SC"/>
        <family val="2"/>
      </rPr>
      <t xml:space="preserve">개</t>
    </r>
    <r>
      <rPr>
        <sz val="9"/>
        <color rgb="FF1A3A4A"/>
        <rFont val="맑은 고딕"/>
        <family val="0"/>
        <charset val="1"/>
      </rPr>
      <t xml:space="preserve">), </t>
    </r>
    <r>
      <rPr>
        <sz val="9"/>
        <color rgb="FF1A3A4A"/>
        <rFont val="Noto Sans CJK SC"/>
        <family val="2"/>
      </rPr>
      <t xml:space="preserve">일 </t>
    </r>
    <r>
      <rPr>
        <sz val="9"/>
        <color rgb="FF1A3A4A"/>
        <rFont val="맑은 고딕"/>
        <family val="0"/>
        <charset val="1"/>
      </rPr>
      <t xml:space="preserve">3</t>
    </r>
    <r>
      <rPr>
        <sz val="9"/>
        <color rgb="FF1A3A4A"/>
        <rFont val="Noto Sans CJK SC"/>
        <family val="2"/>
      </rPr>
      <t xml:space="preserve">회 입장 제한  </t>
    </r>
    <r>
      <rPr>
        <sz val="9"/>
        <color rgb="FF1A3A4A"/>
        <rFont val="맑은 고딕"/>
        <family val="0"/>
        <charset val="1"/>
      </rPr>
      <t xml:space="preserve">|  </t>
    </r>
    <r>
      <rPr>
        <sz val="9"/>
        <color rgb="FF1A3A4A"/>
        <rFont val="Noto Sans CJK SC"/>
        <family val="2"/>
      </rPr>
      <t xml:space="preserve">가공물</t>
    </r>
    <r>
      <rPr>
        <sz val="9"/>
        <color rgb="FF1A3A4A"/>
        <rFont val="맑은 고딕"/>
        <family val="0"/>
        <charset val="1"/>
      </rPr>
      <t xml:space="preserve">(52xx) : </t>
    </r>
    <r>
      <rPr>
        <sz val="9"/>
        <color rgb="FF1A3A4A"/>
        <rFont val="Noto Sans CJK SC"/>
        <family val="2"/>
      </rPr>
      <t xml:space="preserve">채집물 </t>
    </r>
    <r>
      <rPr>
        <sz val="9"/>
        <color rgb="FF1A3A4A"/>
        <rFont val="맑은 고딕"/>
        <family val="0"/>
        <charset val="1"/>
      </rPr>
      <t xml:space="preserve">10</t>
    </r>
    <r>
      <rPr>
        <sz val="9"/>
        <color rgb="FF1A3A4A"/>
        <rFont val="Noto Sans CJK SC"/>
        <family val="2"/>
      </rPr>
      <t xml:space="preserve">개 가공  </t>
    </r>
    <r>
      <rPr>
        <sz val="9"/>
        <color rgb="FF1A3A4A"/>
        <rFont val="맑은 고딕"/>
        <family val="0"/>
        <charset val="1"/>
      </rPr>
      <t xml:space="preserve">|  </t>
    </r>
    <r>
      <rPr>
        <sz val="9"/>
        <color rgb="FF1A3A4A"/>
        <rFont val="Noto Sans CJK SC"/>
        <family val="2"/>
      </rPr>
      <t xml:space="preserve">하우징</t>
    </r>
    <r>
      <rPr>
        <sz val="9"/>
        <color rgb="FF1A3A4A"/>
        <rFont val="맑은 고딕"/>
        <family val="0"/>
        <charset val="1"/>
      </rPr>
      <t xml:space="preserve">: </t>
    </r>
    <r>
      <rPr>
        <sz val="9"/>
        <color rgb="FF1A3A4A"/>
        <rFont val="Noto Sans CJK SC"/>
        <family val="2"/>
      </rPr>
      <t xml:space="preserve">채집물 자동 수확 — 일반 </t>
    </r>
    <r>
      <rPr>
        <sz val="9"/>
        <color rgb="FF1A3A4A"/>
        <rFont val="맑은 고딕"/>
        <family val="0"/>
        <charset val="1"/>
      </rPr>
      <t xml:space="preserve">10</t>
    </r>
    <r>
      <rPr>
        <sz val="9"/>
        <color rgb="FF1A3A4A"/>
        <rFont val="Noto Sans CJK SC"/>
        <family val="2"/>
      </rPr>
      <t xml:space="preserve">개</t>
    </r>
    <r>
      <rPr>
        <sz val="9"/>
        <color rgb="FF1A3A4A"/>
        <rFont val="맑은 고딕"/>
        <family val="0"/>
        <charset val="1"/>
      </rPr>
      <t xml:space="preserve">/</t>
    </r>
    <r>
      <rPr>
        <sz val="9"/>
        <color rgb="FF1A3A4A"/>
        <rFont val="Noto Sans CJK SC"/>
        <family val="2"/>
      </rPr>
      <t xml:space="preserve">일 </t>
    </r>
    <r>
      <rPr>
        <sz val="9"/>
        <color rgb="FF1A3A4A"/>
        <rFont val="맑은 고딕"/>
        <family val="0"/>
        <charset val="1"/>
      </rPr>
      <t xml:space="preserve">· </t>
    </r>
    <r>
      <rPr>
        <sz val="9"/>
        <color rgb="FF1A3A4A"/>
        <rFont val="Noto Sans CJK SC"/>
        <family val="2"/>
      </rPr>
      <t xml:space="preserve">프리미엄 </t>
    </r>
    <r>
      <rPr>
        <sz val="9"/>
        <color rgb="FF1A3A4A"/>
        <rFont val="맑은 고딕"/>
        <family val="0"/>
        <charset val="1"/>
      </rPr>
      <t xml:space="preserve">100</t>
    </r>
    <r>
      <rPr>
        <sz val="9"/>
        <color rgb="FF1A3A4A"/>
        <rFont val="Noto Sans CJK SC"/>
        <family val="2"/>
      </rPr>
      <t xml:space="preserve">개</t>
    </r>
    <r>
      <rPr>
        <sz val="9"/>
        <color rgb="FF1A3A4A"/>
        <rFont val="맑은 고딕"/>
        <family val="0"/>
        <charset val="1"/>
      </rPr>
      <t xml:space="preserve">/</t>
    </r>
    <r>
      <rPr>
        <sz val="9"/>
        <color rgb="FF1A3A4A"/>
        <rFont val="Noto Sans CJK SC"/>
        <family val="2"/>
      </rPr>
      <t xml:space="preserve">일</t>
    </r>
  </si>
  <si>
    <t xml:space="preserve">목표 기간</t>
  </si>
  <si>
    <r>
      <rPr>
        <b val="true"/>
        <sz val="9"/>
        <color rgb="FFFFFFFF"/>
        <rFont val="Noto Sans CJK SC"/>
        <family val="2"/>
      </rPr>
      <t xml:space="preserve">코어 수량
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무기</t>
    </r>
    <r>
      <rPr>
        <b val="true"/>
        <sz val="9"/>
        <color rgb="FFFFFFFF"/>
        <rFont val="맑은 고딕"/>
        <family val="0"/>
        <charset val="1"/>
      </rPr>
      <t xml:space="preserve">=</t>
    </r>
    <r>
      <rPr>
        <b val="true"/>
        <sz val="9"/>
        <color rgb="FFFFFFFF"/>
        <rFont val="Noto Sans CJK SC"/>
        <family val="2"/>
      </rPr>
      <t xml:space="preserve">방어구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</si>
  <si>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필요 던전
입장 횟수</t>
  </si>
  <si>
    <r>
      <rPr>
        <b val="true"/>
        <sz val="9"/>
        <color rgb="FFFFFFFF"/>
        <rFont val="Noto Sans CJK SC"/>
        <family val="2"/>
      </rPr>
      <t xml:space="preserve">실제 필요
일수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평균</t>
    </r>
    <r>
      <rPr>
        <b val="true"/>
        <sz val="9"/>
        <color rgb="FFFFFFFF"/>
        <rFont val="맑은 고딕"/>
        <family val="0"/>
        <charset val="1"/>
      </rPr>
      <t xml:space="preserve">)</t>
    </r>
  </si>
  <si>
    <t xml:space="preserve">일일 투자
시간</t>
  </si>
  <si>
    <r>
      <rPr>
        <b val="true"/>
        <sz val="9"/>
        <color rgb="FFFFFFFF"/>
        <rFont val="Noto Sans CJK SC"/>
        <family val="2"/>
      </rPr>
      <t xml:space="preserve">채집물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무기</t>
    </r>
    <r>
      <rPr>
        <b val="true"/>
        <sz val="9"/>
        <color rgb="FFFFFFFF"/>
        <rFont val="맑은 고딕"/>
        <family val="0"/>
        <charset val="1"/>
      </rPr>
      <t xml:space="preserve">)
</t>
    </r>
    <r>
      <rPr>
        <b val="true"/>
        <sz val="9"/>
        <color rgb="FFFFFFFF"/>
        <rFont val="Noto Sans CJK SC"/>
        <family val="2"/>
      </rPr>
      <t xml:space="preserve">채집만 시간</t>
    </r>
  </si>
  <si>
    <t xml:space="preserve">- </t>
  </si>
  <si>
    <r>
      <rPr>
        <sz val="9"/>
        <color rgb="FF000000"/>
        <rFont val="맑은 고딕"/>
        <family val="0"/>
        <charset val="1"/>
      </rPr>
      <t xml:space="preserve">T1</t>
    </r>
    <r>
      <rPr>
        <sz val="9"/>
        <color rgb="FF000000"/>
        <rFont val="Noto Sans CJK SC"/>
        <family val="2"/>
      </rPr>
      <t xml:space="preserve">은 코어 제작 없음</t>
    </r>
  </si>
  <si>
    <r>
      <rPr>
        <sz val="10"/>
        <color rgb="FF000000"/>
        <rFont val="맑은 고딕"/>
        <family val="0"/>
        <charset val="1"/>
      </rPr>
      <t xml:space="preserve">0.2</t>
    </r>
    <r>
      <rPr>
        <sz val="10"/>
        <color rgb="FF000000"/>
        <rFont val="Noto Sans CJK SC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</si>
  <si>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</si>
  <si>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분</t>
    </r>
    <r>
      <rPr>
        <sz val="10"/>
        <color rgb="FF000000"/>
        <rFont val="맑은 고딕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일</t>
    </r>
  </si>
  <si>
    <r>
      <rPr>
        <sz val="9"/>
        <color rgb="FF000000"/>
        <rFont val="Noto Sans CJK SC"/>
        <family val="2"/>
      </rPr>
      <t xml:space="preserve">던전 </t>
    </r>
    <r>
      <rPr>
        <sz val="9"/>
        <color rgb="FF000000"/>
        <rFont val="맑은 고딕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회 입장으로 달성 가능</t>
    </r>
  </si>
  <si>
    <r>
      <rPr>
        <sz val="10"/>
        <color rgb="FF000000"/>
        <rFont val="맑은 고딕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</si>
  <si>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일</t>
    </r>
  </si>
  <si>
    <r>
      <rPr>
        <sz val="9"/>
        <color rgb="FF000000"/>
        <rFont val="Noto Sans CJK SC"/>
        <family val="2"/>
      </rPr>
      <t xml:space="preserve">하루 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회 풀 입장으로 달성</t>
    </r>
  </si>
  <si>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</si>
  <si>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3.0</t>
    </r>
    <r>
      <rPr>
        <sz val="10"/>
        <color rgb="FF000000"/>
        <rFont val="Noto Sans CJK SC"/>
        <family val="2"/>
      </rPr>
      <t xml:space="preserve">일</t>
    </r>
  </si>
  <si>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일 </t>
    </r>
    <r>
      <rPr>
        <sz val="9"/>
        <color rgb="FF000000"/>
        <rFont val="맑은 고딕"/>
        <family val="0"/>
        <charset val="1"/>
      </rPr>
      <t xml:space="preserve">× </t>
    </r>
    <r>
      <rPr>
        <sz val="9"/>
        <color rgb="FF000000"/>
        <rFont val="Noto Sans CJK SC"/>
        <family val="2"/>
      </rPr>
      <t xml:space="preserve">하루 </t>
    </r>
    <r>
      <rPr>
        <sz val="9"/>
        <color rgb="FF000000"/>
        <rFont val="맑은 고딕"/>
        <family val="0"/>
        <charset val="1"/>
      </rPr>
      <t xml:space="preserve">3</t>
    </r>
    <r>
      <rPr>
        <sz val="9"/>
        <color rgb="FF000000"/>
        <rFont val="Noto Sans CJK SC"/>
        <family val="2"/>
      </rPr>
      <t xml:space="preserve">회</t>
    </r>
  </si>
  <si>
    <r>
      <rPr>
        <sz val="10"/>
        <color rgb="FF000000"/>
        <rFont val="맑은 고딕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</si>
  <si>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10.0</t>
    </r>
    <r>
      <rPr>
        <sz val="10"/>
        <color rgb="FF000000"/>
        <rFont val="Noto Sans CJK SC"/>
        <family val="2"/>
      </rPr>
      <t xml:space="preserve">일</t>
    </r>
  </si>
  <si>
    <r>
      <rPr>
        <sz val="9"/>
        <color rgb="FF000000"/>
        <rFont val="맑은 고딕"/>
        <family val="0"/>
        <charset val="1"/>
      </rPr>
      <t xml:space="preserve">10</t>
    </r>
    <r>
      <rPr>
        <sz val="9"/>
        <color rgb="FF000000"/>
        <rFont val="Noto Sans CJK SC"/>
        <family val="2"/>
      </rPr>
      <t xml:space="preserve">일 꾸준 투자</t>
    </r>
  </si>
  <si>
    <r>
      <rPr>
        <sz val="10"/>
        <color rgb="FF000000"/>
        <rFont val="맑은 고딕"/>
        <family val="0"/>
        <charset val="1"/>
      </rPr>
      <t xml:space="preserve">30</t>
    </r>
    <r>
      <rPr>
        <sz val="10"/>
        <color rgb="FF000000"/>
        <rFont val="Noto Sans CJK SC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</si>
  <si>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30.0</t>
    </r>
    <r>
      <rPr>
        <sz val="10"/>
        <color rgb="FF000000"/>
        <rFont val="Noto Sans CJK SC"/>
        <family val="2"/>
      </rPr>
      <t xml:space="preserve">일</t>
    </r>
  </si>
  <si>
    <r>
      <rPr>
        <sz val="9"/>
        <color rgb="FF000000"/>
        <rFont val="맑은 고딕"/>
        <family val="0"/>
        <charset val="1"/>
      </rPr>
      <t xml:space="preserve">30</t>
    </r>
    <r>
      <rPr>
        <sz val="9"/>
        <color rgb="FF000000"/>
        <rFont val="Noto Sans CJK SC"/>
        <family val="2"/>
      </rPr>
      <t xml:space="preserve">일 </t>
    </r>
    <r>
      <rPr>
        <sz val="9"/>
        <color rgb="FF000000"/>
        <rFont val="맑은 고딕"/>
        <family val="0"/>
        <charset val="1"/>
      </rPr>
      <t xml:space="preserve">× </t>
    </r>
    <r>
      <rPr>
        <sz val="9"/>
        <color rgb="FF000000"/>
        <rFont val="Noto Sans CJK SC"/>
        <family val="2"/>
      </rPr>
      <t xml:space="preserve">하루 </t>
    </r>
    <r>
      <rPr>
        <sz val="9"/>
        <color rgb="FF000000"/>
        <rFont val="맑은 고딕"/>
        <family val="0"/>
        <charset val="1"/>
      </rPr>
      <t xml:space="preserve">45</t>
    </r>
    <r>
      <rPr>
        <sz val="9"/>
        <color rgb="FF000000"/>
        <rFont val="Noto Sans CJK SC"/>
        <family val="2"/>
      </rPr>
      <t xml:space="preserve">분</t>
    </r>
  </si>
  <si>
    <r>
      <rPr>
        <sz val="10"/>
        <color rgb="FF000000"/>
        <rFont val="맑은 고딕"/>
        <family val="0"/>
        <charset val="1"/>
      </rPr>
      <t xml:space="preserve">100</t>
    </r>
    <r>
      <rPr>
        <sz val="10"/>
        <color rgb="FF000000"/>
        <rFont val="Noto Sans CJK SC"/>
        <family val="2"/>
      </rPr>
      <t xml:space="preserve">일</t>
    </r>
  </si>
  <si>
    <r>
      <rPr>
        <sz val="10"/>
        <color rgb="FF000000"/>
        <rFont val="맑은 고딕"/>
        <family val="0"/>
        <charset val="1"/>
      </rPr>
      <t xml:space="preserve">100.0</t>
    </r>
    <r>
      <rPr>
        <sz val="10"/>
        <color rgb="FF000000"/>
        <rFont val="Noto Sans CJK SC"/>
        <family val="2"/>
      </rPr>
      <t xml:space="preserve">일</t>
    </r>
  </si>
  <si>
    <r>
      <rPr>
        <sz val="9"/>
        <color rgb="FF000000"/>
        <rFont val="맑은 고딕"/>
        <family val="0"/>
        <charset val="1"/>
      </rPr>
      <t xml:space="preserve">100</t>
    </r>
    <r>
      <rPr>
        <sz val="9"/>
        <color rgb="FF000000"/>
        <rFont val="Noto Sans CJK SC"/>
        <family val="2"/>
      </rPr>
      <t xml:space="preserve">일 장기 목표</t>
    </r>
  </si>
  <si>
    <r>
      <rPr>
        <b val="true"/>
        <sz val="10"/>
        <color rgb="FFFFFFFF"/>
        <rFont val="Noto Sans CJK SC"/>
        <family val="2"/>
      </rPr>
      <t xml:space="preserve">■  코어 드랍 수량 편차 설계 — </t>
    </r>
    <r>
      <rPr>
        <b val="true"/>
        <sz val="10"/>
        <color rgb="FFFFFFFF"/>
        <rFont val="맑은 고딕"/>
        <family val="0"/>
        <charset val="1"/>
      </rPr>
      <t xml:space="preserve">3~7</t>
    </r>
    <r>
      <rPr>
        <b val="true"/>
        <sz val="10"/>
        <color rgb="FFFFFFFF"/>
        <rFont val="Noto Sans CJK SC"/>
        <family val="2"/>
      </rPr>
      <t xml:space="preserve">개 </t>
    </r>
    <r>
      <rPr>
        <b val="true"/>
        <sz val="10"/>
        <color rgb="FFFFFFFF"/>
        <rFont val="맑은 고딕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평균 </t>
    </r>
    <r>
      <rPr>
        <b val="true"/>
        <sz val="10"/>
        <color rgb="FFFFFFFF"/>
        <rFont val="맑은 고딕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개</t>
    </r>
    <r>
      <rPr>
        <b val="true"/>
        <sz val="10"/>
        <color rgb="FFFFFFFF"/>
        <rFont val="맑은 고딕"/>
        <family val="0"/>
        <charset val="1"/>
      </rPr>
      <t xml:space="preserve">)</t>
    </r>
  </si>
  <si>
    <r>
      <rPr>
        <sz val="9"/>
        <color rgb="FF333333"/>
        <rFont val="Noto Sans CJK SC"/>
        <family val="2"/>
      </rPr>
      <t xml:space="preserve">•  범위 </t>
    </r>
    <r>
      <rPr>
        <sz val="9"/>
        <color rgb="FF333333"/>
        <rFont val="맑은 고딕"/>
        <family val="0"/>
        <charset val="1"/>
      </rPr>
      <t xml:space="preserve">1~10 → </t>
    </r>
    <r>
      <rPr>
        <sz val="9"/>
        <color rgb="FF333333"/>
        <rFont val="Noto Sans CJK SC"/>
        <family val="2"/>
      </rPr>
      <t xml:space="preserve">운이 나쁘면 절반 이하</t>
    </r>
    <r>
      <rPr>
        <sz val="9"/>
        <color rgb="FF333333"/>
        <rFont val="맑은 고딕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운이 좋으면 두 배 이상 — 편차가 너무 커 </t>
    </r>
    <r>
      <rPr>
        <sz val="9"/>
        <color rgb="FF333333"/>
        <rFont val="맑은 고딕"/>
        <family val="0"/>
        <charset val="1"/>
      </rPr>
      <t xml:space="preserve">"</t>
    </r>
    <r>
      <rPr>
        <sz val="9"/>
        <color rgb="FF333333"/>
        <rFont val="Noto Sans CJK SC"/>
        <family val="2"/>
      </rPr>
      <t xml:space="preserve">운빨</t>
    </r>
    <r>
      <rPr>
        <sz val="9"/>
        <color rgb="FF333333"/>
        <rFont val="맑은 고딕"/>
        <family val="0"/>
        <charset val="1"/>
      </rPr>
      <t xml:space="preserve">" </t>
    </r>
    <r>
      <rPr>
        <sz val="9"/>
        <color rgb="FF333333"/>
        <rFont val="Noto Sans CJK SC"/>
        <family val="2"/>
      </rPr>
      <t xml:space="preserve">성격이 강해짐</t>
    </r>
  </si>
  <si>
    <r>
      <rPr>
        <sz val="9"/>
        <color rgb="FF333333"/>
        <rFont val="Noto Sans CJK SC"/>
        <family val="2"/>
      </rPr>
      <t xml:space="preserve">•  범위 </t>
    </r>
    <r>
      <rPr>
        <sz val="9"/>
        <color rgb="FF333333"/>
        <rFont val="맑은 고딕"/>
        <family val="0"/>
        <charset val="1"/>
      </rPr>
      <t xml:space="preserve">3~7  → </t>
    </r>
    <r>
      <rPr>
        <sz val="9"/>
        <color rgb="FF333333"/>
        <rFont val="Noto Sans CJK SC"/>
        <family val="2"/>
      </rPr>
      <t xml:space="preserve">최솟값이 평균의 </t>
    </r>
    <r>
      <rPr>
        <sz val="9"/>
        <color rgb="FF333333"/>
        <rFont val="맑은 고딕"/>
        <family val="0"/>
        <charset val="1"/>
      </rPr>
      <t xml:space="preserve">60%, </t>
    </r>
    <r>
      <rPr>
        <sz val="9"/>
        <color rgb="FF333333"/>
        <rFont val="Noto Sans CJK SC"/>
        <family val="2"/>
      </rPr>
      <t xml:space="preserve">최댓값이 </t>
    </r>
    <r>
      <rPr>
        <sz val="9"/>
        <color rgb="FF333333"/>
        <rFont val="맑은 고딕"/>
        <family val="0"/>
        <charset val="1"/>
      </rPr>
      <t xml:space="preserve">140% — "</t>
    </r>
    <r>
      <rPr>
        <sz val="9"/>
        <color rgb="FF333333"/>
        <rFont val="Noto Sans CJK SC"/>
        <family val="2"/>
      </rPr>
      <t xml:space="preserve">천장 보장</t>
    </r>
    <r>
      <rPr>
        <sz val="9"/>
        <color rgb="FF333333"/>
        <rFont val="맑은 고딕"/>
        <family val="0"/>
        <charset val="1"/>
      </rPr>
      <t xml:space="preserve">" </t>
    </r>
    <r>
      <rPr>
        <sz val="9"/>
        <color rgb="FF333333"/>
        <rFont val="Noto Sans CJK SC"/>
        <family val="2"/>
      </rPr>
      <t xml:space="preserve">성격 강화</t>
    </r>
    <r>
      <rPr>
        <sz val="9"/>
        <color rgb="FF333333"/>
        <rFont val="맑은 고딕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예측 가능한 진행감 제공</t>
    </r>
  </si>
  <si>
    <r>
      <rPr>
        <sz val="9"/>
        <color rgb="FF333333"/>
        <rFont val="Noto Sans CJK SC"/>
        <family val="2"/>
      </rPr>
      <t xml:space="preserve">•  예</t>
    </r>
    <r>
      <rPr>
        <sz val="9"/>
        <color rgb="FF333333"/>
        <rFont val="맑은 고딕"/>
        <family val="0"/>
        <charset val="1"/>
      </rPr>
      <t xml:space="preserve">) </t>
    </r>
    <r>
      <rPr>
        <sz val="9"/>
        <color rgb="FF333333"/>
        <rFont val="Noto Sans CJK SC"/>
        <family val="2"/>
      </rPr>
      <t xml:space="preserve">코어 </t>
    </r>
    <r>
      <rPr>
        <sz val="9"/>
        <color rgb="FF333333"/>
        <rFont val="맑은 고딕"/>
        <family val="0"/>
        <charset val="1"/>
      </rPr>
      <t xml:space="preserve">15</t>
    </r>
    <r>
      <rPr>
        <sz val="9"/>
        <color rgb="FF333333"/>
        <rFont val="Noto Sans CJK SC"/>
        <family val="2"/>
      </rPr>
      <t xml:space="preserve">개 필요</t>
    </r>
    <r>
      <rPr>
        <sz val="9"/>
        <color rgb="FF333333"/>
        <rFont val="맑은 고딕"/>
        <family val="0"/>
        <charset val="1"/>
      </rPr>
      <t xml:space="preserve">(T3) </t>
    </r>
    <r>
      <rPr>
        <sz val="9"/>
        <color rgb="FF333333"/>
        <rFont val="Noto Sans CJK SC"/>
        <family val="2"/>
      </rPr>
      <t xml:space="preserve">시 </t>
    </r>
    <r>
      <rPr>
        <sz val="9"/>
        <color rgb="FF333333"/>
        <rFont val="맑은 고딕"/>
        <family val="0"/>
        <charset val="1"/>
      </rPr>
      <t xml:space="preserve">: </t>
    </r>
    <r>
      <rPr>
        <sz val="9"/>
        <color rgb="FF333333"/>
        <rFont val="Noto Sans CJK SC"/>
        <family val="2"/>
      </rPr>
      <t xml:space="preserve">범위 </t>
    </r>
    <r>
      <rPr>
        <sz val="9"/>
        <color rgb="FF333333"/>
        <rFont val="맑은 고딕"/>
        <family val="0"/>
        <charset val="1"/>
      </rPr>
      <t xml:space="preserve">1~10</t>
    </r>
    <r>
      <rPr>
        <sz val="9"/>
        <color rgb="FF333333"/>
        <rFont val="Noto Sans CJK SC"/>
        <family val="2"/>
      </rPr>
      <t xml:space="preserve">이면 최악 </t>
    </r>
    <r>
      <rPr>
        <sz val="9"/>
        <color rgb="FF333333"/>
        <rFont val="맑은 고딕"/>
        <family val="0"/>
        <charset val="1"/>
      </rPr>
      <t xml:space="preserve">15</t>
    </r>
    <r>
      <rPr>
        <sz val="9"/>
        <color rgb="FF333333"/>
        <rFont val="Noto Sans CJK SC"/>
        <family val="2"/>
      </rPr>
      <t xml:space="preserve">회</t>
    </r>
    <r>
      <rPr>
        <sz val="9"/>
        <color rgb="FF333333"/>
        <rFont val="맑은 고딕"/>
        <family val="0"/>
        <charset val="1"/>
      </rPr>
      <t xml:space="preserve">, </t>
    </r>
    <r>
      <rPr>
        <sz val="9"/>
        <color rgb="FF333333"/>
        <rFont val="Noto Sans CJK SC"/>
        <family val="2"/>
      </rPr>
      <t xml:space="preserve">범위 </t>
    </r>
    <r>
      <rPr>
        <sz val="9"/>
        <color rgb="FF333333"/>
        <rFont val="맑은 고딕"/>
        <family val="0"/>
        <charset val="1"/>
      </rPr>
      <t xml:space="preserve">3~7</t>
    </r>
    <r>
      <rPr>
        <sz val="9"/>
        <color rgb="FF333333"/>
        <rFont val="Noto Sans CJK SC"/>
        <family val="2"/>
      </rPr>
      <t xml:space="preserve">이면 최악 </t>
    </r>
    <r>
      <rPr>
        <sz val="9"/>
        <color rgb="FF333333"/>
        <rFont val="맑은 고딕"/>
        <family val="0"/>
        <charset val="1"/>
      </rPr>
      <t xml:space="preserve">5</t>
    </r>
    <r>
      <rPr>
        <sz val="9"/>
        <color rgb="FF333333"/>
        <rFont val="Noto Sans CJK SC"/>
        <family val="2"/>
      </rPr>
      <t xml:space="preserve">회 입장으로 완성</t>
    </r>
  </si>
  <si>
    <t xml:space="preserve">🏡  하우징 채집 효과 분석  —  필드 채집 vs 하우징 병행</t>
  </si>
  <si>
    <t xml:space="preserve">밭 1개당 채집물 10개 심기  |  24시간마다 1개 수확  |  일반: 밭 1개(10개/일)  |  프리미엄: 밭 10개(100개/일)</t>
  </si>
  <si>
    <t xml:space="preserve">⚙️  하우징 사양</t>
  </si>
  <si>
    <t xml:space="preserve">밭 수량</t>
  </si>
  <si>
    <t xml:space="preserve">일반 1개</t>
  </si>
  <si>
    <t xml:space="preserve">프리미엄 10개</t>
  </si>
  <si>
    <t xml:space="preserve">하루 수확량</t>
  </si>
  <si>
    <r>
      <rPr>
        <sz val="9"/>
        <color rgb="FF000000"/>
        <rFont val="Arial"/>
        <family val="2"/>
        <charset val="1"/>
      </rPr>
      <t xml:space="preserve">10</t>
    </r>
    <r>
      <rPr>
        <sz val="9"/>
        <color rgb="FF000000"/>
        <rFont val="Noto Sans CJK SC"/>
        <family val="2"/>
      </rPr>
      <t xml:space="preserve">개</t>
    </r>
    <r>
      <rPr>
        <sz val="9"/>
        <color rgb="FF000000"/>
        <rFont val="Arial"/>
        <family val="2"/>
        <charset val="1"/>
      </rPr>
      <t xml:space="preserve">/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</si>
  <si>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100</t>
    </r>
    <r>
      <rPr>
        <sz val="9"/>
        <color rgb="FF000000"/>
        <rFont val="Noto Sans CJK SC"/>
        <family val="2"/>
      </rPr>
      <t xml:space="preserve">개</t>
    </r>
    <r>
      <rPr>
        <sz val="9"/>
        <color rgb="FF000000"/>
        <rFont val="Arial"/>
        <family val="2"/>
        <charset val="1"/>
      </rPr>
      <t xml:space="preserve">/</t>
    </r>
    <r>
      <rPr>
        <sz val="9"/>
        <color rgb="FF000000"/>
        <rFont val="Noto Sans CJK SC"/>
        <family val="2"/>
      </rPr>
      <t xml:space="preserve">일</t>
    </r>
  </si>
  <si>
    <t xml:space="preserve">🗡️  무기 기준  —  채집물 수량 &amp; 채집 시간 단축 효과</t>
  </si>
  <si>
    <t xml:space="preserve">채집
1회(초)</t>
  </si>
  <si>
    <t xml:space="preserve">필드 채집만</t>
  </si>
  <si>
    <t xml:space="preserve">🌿 일반 유저 (밭 1개)</t>
  </si>
  <si>
    <t xml:space="preserve">⭐ 프리미엄 유저 (밭 10개)</t>
  </si>
  <si>
    <t xml:space="preserve">채집물
수량</t>
  </si>
  <si>
    <t xml:space="preserve">순수
채집시간</t>
  </si>
  <si>
    <t xml:space="preserve">일일
수확</t>
  </si>
  <si>
    <t xml:space="preserve">전량
소요일수</t>
  </si>
  <si>
    <t xml:space="preserve">절감 시간
(단축량)</t>
  </si>
  <si>
    <r>
      <rPr>
        <sz val="9"/>
        <color rgb="FF000000"/>
        <rFont val="Arial"/>
        <family val="2"/>
        <charset val="1"/>
      </rPr>
      <t xml:space="preserve">2.5</t>
    </r>
    <r>
      <rPr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</si>
  <si>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5.0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</si>
  <si>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000000"/>
        <rFont val="Arial"/>
        <family val="2"/>
        <charset val="1"/>
      </rPr>
      <t xml:space="preserve">2.5</t>
    </r>
    <r>
      <rPr>
        <b val="true"/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</si>
  <si>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0.5</t>
    </r>
    <r>
      <rPr>
        <sz val="9"/>
        <color rgb="FF000000"/>
        <rFont val="Noto Sans CJK SC"/>
        <family val="2"/>
      </rPr>
      <t xml:space="preserve">일</t>
    </r>
  </si>
  <si>
    <t xml:space="preserve">빠른 진입</t>
  </si>
  <si>
    <r>
      <rPr>
        <sz val="9"/>
        <color rgb="FF000000"/>
        <rFont val="Arial"/>
        <family val="2"/>
        <charset val="1"/>
      </rPr>
      <t xml:space="preserve">10.1</t>
    </r>
    <r>
      <rPr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</si>
  <si>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14.0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</si>
  <si>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000000"/>
        <rFont val="Arial"/>
        <family val="2"/>
        <charset val="1"/>
      </rPr>
      <t xml:space="preserve">10.1</t>
    </r>
    <r>
      <rPr>
        <b val="true"/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</si>
  <si>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1.4</t>
    </r>
    <r>
      <rPr>
        <sz val="9"/>
        <color rgb="FF000000"/>
        <rFont val="Noto Sans CJK SC"/>
        <family val="2"/>
      </rPr>
      <t xml:space="preserve">일</t>
    </r>
  </si>
  <si>
    <t xml:space="preserve">초반</t>
  </si>
  <si>
    <r>
      <rPr>
        <sz val="9"/>
        <color rgb="FF000000"/>
        <rFont val="Arial"/>
        <family val="2"/>
        <charset val="1"/>
      </rPr>
      <t xml:space="preserve">29.9</t>
    </r>
    <r>
      <rPr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</si>
  <si>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24.0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</si>
  <si>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000000"/>
        <rFont val="Arial"/>
        <family val="2"/>
        <charset val="1"/>
      </rPr>
      <t xml:space="preserve">29.9</t>
    </r>
    <r>
      <rPr>
        <b val="true"/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</si>
  <si>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2.4</t>
    </r>
    <r>
      <rPr>
        <sz val="9"/>
        <color rgb="FF000000"/>
        <rFont val="Noto Sans CJK SC"/>
        <family val="2"/>
      </rPr>
      <t xml:space="preserve">일</t>
    </r>
  </si>
  <si>
    <t xml:space="preserve">중반</t>
  </si>
  <si>
    <r>
      <rPr>
        <sz val="9"/>
        <color rgb="FF000000"/>
        <rFont val="Arial"/>
        <family val="2"/>
        <charset val="1"/>
      </rPr>
      <t xml:space="preserve">2.5</t>
    </r>
    <r>
      <rPr>
        <sz val="9"/>
        <color rgb="FF000000"/>
        <rFont val="Noto Sans CJK SC"/>
        <family val="2"/>
      </rPr>
      <t xml:space="preserve">시간</t>
    </r>
  </si>
  <si>
    <r>
      <rPr>
        <sz val="9"/>
        <color rgb="FF000000"/>
        <rFont val="Arial"/>
        <family val="2"/>
        <charset val="1"/>
      </rPr>
      <t xml:space="preserve">58.0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</si>
  <si>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B8860B"/>
        <rFont val="Arial"/>
        <family val="2"/>
        <charset val="1"/>
      </rPr>
      <t xml:space="preserve">2.5</t>
    </r>
    <r>
      <rPr>
        <b val="true"/>
        <sz val="9"/>
        <color rgb="FFB8860B"/>
        <rFont val="Noto Sans CJK SC"/>
        <family val="2"/>
      </rPr>
      <t xml:space="preserve">시간</t>
    </r>
  </si>
  <si>
    <r>
      <rPr>
        <sz val="9"/>
        <color rgb="FF000000"/>
        <rFont val="Arial"/>
        <family val="2"/>
        <charset val="1"/>
      </rPr>
      <t xml:space="preserve">5.8</t>
    </r>
    <r>
      <rPr>
        <sz val="9"/>
        <color rgb="FF000000"/>
        <rFont val="Noto Sans CJK SC"/>
        <family val="2"/>
      </rPr>
      <t xml:space="preserve">일</t>
    </r>
  </si>
  <si>
    <t xml:space="preserve">중후반</t>
  </si>
  <si>
    <r>
      <rPr>
        <sz val="9"/>
        <color rgb="FF000000"/>
        <rFont val="Arial"/>
        <family val="2"/>
        <charset val="1"/>
      </rPr>
      <t xml:space="preserve">12.5</t>
    </r>
    <r>
      <rPr>
        <sz val="9"/>
        <color rgb="FF000000"/>
        <rFont val="Noto Sans CJK SC"/>
        <family val="2"/>
      </rPr>
      <t xml:space="preserve">시간</t>
    </r>
  </si>
  <si>
    <r>
      <rPr>
        <sz val="9"/>
        <color rgb="FF000000"/>
        <rFont val="Arial"/>
        <family val="2"/>
        <charset val="1"/>
      </rPr>
      <t xml:space="preserve">117.0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</si>
  <si>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B8860B"/>
        <rFont val="Arial"/>
        <family val="2"/>
        <charset val="1"/>
      </rPr>
      <t xml:space="preserve">12.5</t>
    </r>
    <r>
      <rPr>
        <b val="true"/>
        <sz val="9"/>
        <color rgb="FFB8860B"/>
        <rFont val="Noto Sans CJK SC"/>
        <family val="2"/>
      </rPr>
      <t xml:space="preserve">시간</t>
    </r>
  </si>
  <si>
    <r>
      <rPr>
        <sz val="9"/>
        <color rgb="FF000000"/>
        <rFont val="Arial"/>
        <family val="2"/>
        <charset val="1"/>
      </rPr>
      <t xml:space="preserve">11.7</t>
    </r>
    <r>
      <rPr>
        <sz val="9"/>
        <color rgb="FF000000"/>
        <rFont val="Noto Sans CJK SC"/>
        <family val="2"/>
      </rPr>
      <t xml:space="preserve">일</t>
    </r>
  </si>
  <si>
    <t xml:space="preserve">후반</t>
  </si>
  <si>
    <r>
      <rPr>
        <sz val="9"/>
        <color rgb="FF000000"/>
        <rFont val="Arial"/>
        <family val="2"/>
        <charset val="1"/>
      </rPr>
      <t xml:space="preserve">2.6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</si>
  <si>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196.0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</si>
  <si>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B8860B"/>
        <rFont val="Arial"/>
        <family val="2"/>
        <charset val="1"/>
      </rPr>
      <t xml:space="preserve">2.6</t>
    </r>
    <r>
      <rPr>
        <b val="true"/>
        <sz val="9"/>
        <color rgb="FFB8860B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</si>
  <si>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19.6</t>
    </r>
    <r>
      <rPr>
        <sz val="9"/>
        <color rgb="FF000000"/>
        <rFont val="Noto Sans CJK SC"/>
        <family val="2"/>
      </rPr>
      <t xml:space="preserve">일</t>
    </r>
  </si>
  <si>
    <t xml:space="preserve">고난이도</t>
  </si>
  <si>
    <r>
      <rPr>
        <sz val="9"/>
        <color rgb="FF000000"/>
        <rFont val="Arial"/>
        <family val="2"/>
        <charset val="1"/>
      </rPr>
      <t xml:space="preserve">13.0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</si>
  <si>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273.0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</si>
  <si>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B8860B"/>
        <rFont val="Arial"/>
        <family val="2"/>
        <charset val="1"/>
      </rPr>
      <t xml:space="preserve">13.0</t>
    </r>
    <r>
      <rPr>
        <b val="true"/>
        <sz val="9"/>
        <color rgb="FFB8860B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</si>
  <si>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27.3</t>
    </r>
    <r>
      <rPr>
        <sz val="9"/>
        <color rgb="FF000000"/>
        <rFont val="Noto Sans CJK SC"/>
        <family val="2"/>
      </rPr>
      <t xml:space="preserve">일</t>
    </r>
  </si>
  <si>
    <t xml:space="preserve">최고난이도</t>
  </si>
  <si>
    <t xml:space="preserve">🛡️  방어구 기준  —  채집물 수량 &amp; 채집 시간 단축 효과</t>
  </si>
  <si>
    <r>
      <rPr>
        <sz val="9"/>
        <color rgb="FF000000"/>
        <rFont val="Arial"/>
        <family val="2"/>
        <charset val="1"/>
      </rPr>
      <t xml:space="preserve">5.0</t>
    </r>
    <r>
      <rPr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</si>
  <si>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10.0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</si>
  <si>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000000"/>
        <rFont val="Arial"/>
        <family val="2"/>
        <charset val="1"/>
      </rPr>
      <t xml:space="preserve">5.0</t>
    </r>
    <r>
      <rPr>
        <b val="true"/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</si>
  <si>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1.0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</si>
  <si>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20.2</t>
    </r>
    <r>
      <rPr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</si>
  <si>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28.0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</si>
  <si>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000000"/>
        <rFont val="Arial"/>
        <family val="2"/>
        <charset val="1"/>
      </rPr>
      <t xml:space="preserve">20.2</t>
    </r>
    <r>
      <rPr>
        <b val="true"/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</si>
  <si>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2.8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</si>
  <si>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59.7</t>
    </r>
    <r>
      <rPr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</si>
  <si>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48.0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</si>
  <si>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000000"/>
        <rFont val="Arial"/>
        <family val="2"/>
        <charset val="1"/>
      </rPr>
      <t xml:space="preserve">59.7</t>
    </r>
    <r>
      <rPr>
        <b val="true"/>
        <sz val="9"/>
        <color rgb="FF000000"/>
        <rFont val="Noto Sans CJK SC"/>
        <family val="2"/>
      </rPr>
      <t xml:space="preserve">분</t>
    </r>
  </si>
  <si>
    <r>
      <rPr>
        <sz val="9"/>
        <color rgb="FF000000"/>
        <rFont val="Arial"/>
        <family val="2"/>
        <charset val="1"/>
      </rPr>
      <t xml:space="preserve">4.8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</si>
  <si>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5.0</t>
    </r>
    <r>
      <rPr>
        <sz val="9"/>
        <color rgb="FF000000"/>
        <rFont val="Noto Sans CJK SC"/>
        <family val="2"/>
      </rPr>
      <t xml:space="preserve">시간</t>
    </r>
  </si>
  <si>
    <r>
      <rPr>
        <sz val="9"/>
        <color rgb="FF000000"/>
        <rFont val="Arial"/>
        <family val="2"/>
        <charset val="1"/>
      </rPr>
      <t xml:space="preserve">116.0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</si>
  <si>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B8860B"/>
        <rFont val="Arial"/>
        <family val="2"/>
        <charset val="1"/>
      </rPr>
      <t xml:space="preserve">5.0</t>
    </r>
    <r>
      <rPr>
        <b val="true"/>
        <sz val="9"/>
        <color rgb="FFB8860B"/>
        <rFont val="Noto Sans CJK SC"/>
        <family val="2"/>
      </rPr>
      <t xml:space="preserve">시간</t>
    </r>
  </si>
  <si>
    <r>
      <rPr>
        <sz val="9"/>
        <color rgb="FF000000"/>
        <rFont val="Arial"/>
        <family val="2"/>
        <charset val="1"/>
      </rPr>
      <t xml:space="preserve">11.6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</si>
  <si>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234.0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</si>
  <si>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B8860B"/>
        <rFont val="Arial"/>
        <family val="2"/>
        <charset val="1"/>
      </rPr>
      <t xml:space="preserve">1.0</t>
    </r>
    <r>
      <rPr>
        <b val="true"/>
        <sz val="9"/>
        <color rgb="FFB8860B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</si>
  <si>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23.4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</si>
  <si>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5.2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</si>
  <si>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391.0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</si>
  <si>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B8860B"/>
        <rFont val="Arial"/>
        <family val="2"/>
        <charset val="1"/>
      </rPr>
      <t xml:space="preserve">5.2</t>
    </r>
    <r>
      <rPr>
        <b val="true"/>
        <sz val="9"/>
        <color rgb="FFB8860B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</si>
  <si>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39.1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</si>
  <si>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26.0</t>
    </r>
    <r>
      <rPr>
        <sz val="9"/>
        <color rgb="FF000000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</si>
  <si>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546.0</t>
    </r>
    <r>
      <rPr>
        <sz val="9"/>
        <color rgb="FF000000"/>
        <rFont val="Noto Sans CJK SC"/>
        <family val="2"/>
      </rPr>
      <t xml:space="preserve">일</t>
    </r>
  </si>
  <si>
    <r>
      <rPr>
        <b val="true"/>
        <sz val="9"/>
        <color rgb="FFB8860B"/>
        <rFont val="Arial"/>
        <family val="2"/>
        <charset val="1"/>
      </rPr>
      <t xml:space="preserve">26.0</t>
    </r>
    <r>
      <rPr>
        <b val="true"/>
        <sz val="9"/>
        <color rgb="FFB8860B"/>
        <rFont val="Noto Sans CJK SC"/>
        <family val="2"/>
      </rPr>
      <t xml:space="preserve">일</t>
    </r>
  </si>
  <si>
    <r>
      <rPr>
        <sz val="9"/>
        <color rgb="FF000000"/>
        <rFont val="Arial"/>
        <family val="2"/>
        <charset val="1"/>
      </rPr>
      <t xml:space="preserve">54.6</t>
    </r>
    <r>
      <rPr>
        <sz val="9"/>
        <color rgb="FF000000"/>
        <rFont val="Noto Sans CJK SC"/>
        <family val="2"/>
      </rPr>
      <t xml:space="preserve">일</t>
    </r>
  </si>
  <si>
    <t xml:space="preserve">📋  기획 인사이트</t>
  </si>
  <si>
    <t xml:space="preserve">▶  일반 유저 (밭 1개 · 10개/일)</t>
  </si>
  <si>
    <r>
      <rPr>
        <sz val="9"/>
        <color rgb="FF333333"/>
        <rFont val="Arial"/>
        <family val="2"/>
        <charset val="1"/>
      </rPr>
      <t xml:space="preserve">  • T1~T3</t>
    </r>
    <r>
      <rPr>
        <sz val="9"/>
        <color rgb="FF333333"/>
        <rFont val="Noto Sans CJK SC"/>
        <family val="2"/>
      </rPr>
      <t xml:space="preserve">는 필드 채집이 빠르므로 하우징 절감 효과 미미 </t>
    </r>
    <r>
      <rPr>
        <sz val="9"/>
        <color rgb="FF333333"/>
        <rFont val="Arial"/>
        <family val="2"/>
        <charset val="1"/>
      </rPr>
      <t xml:space="preserve">(</t>
    </r>
    <r>
      <rPr>
        <sz val="9"/>
        <color rgb="FF333333"/>
        <rFont val="Noto Sans CJK SC"/>
        <family val="2"/>
      </rPr>
      <t xml:space="preserve">수초</t>
    </r>
    <r>
      <rPr>
        <sz val="9"/>
        <color rgb="FF333333"/>
        <rFont val="Arial"/>
        <family val="2"/>
        <charset val="1"/>
      </rPr>
      <t xml:space="preserve">~</t>
    </r>
    <r>
      <rPr>
        <sz val="9"/>
        <color rgb="FF333333"/>
        <rFont val="Noto Sans CJK SC"/>
        <family val="2"/>
      </rPr>
      <t xml:space="preserve">수분 수준</t>
    </r>
    <r>
      <rPr>
        <sz val="9"/>
        <color rgb="FF333333"/>
        <rFont val="Arial"/>
        <family val="2"/>
        <charset val="1"/>
      </rPr>
      <t xml:space="preserve">)</t>
    </r>
  </si>
  <si>
    <r>
      <rPr>
        <sz val="9"/>
        <color rgb="FF333333"/>
        <rFont val="Arial"/>
        <family val="2"/>
        <charset val="1"/>
      </rPr>
      <t xml:space="preserve">  • T4</t>
    </r>
    <r>
      <rPr>
        <sz val="9"/>
        <color rgb="FF333333"/>
        <rFont val="Noto Sans CJK SC"/>
        <family val="2"/>
      </rPr>
      <t xml:space="preserve">부터 수 시간 단축 시작 </t>
    </r>
    <r>
      <rPr>
        <sz val="9"/>
        <color rgb="FF333333"/>
        <rFont val="Arial"/>
        <family val="2"/>
        <charset val="1"/>
      </rPr>
      <t xml:space="preserve">/ T6·T7</t>
    </r>
    <r>
      <rPr>
        <sz val="9"/>
        <color rgb="FF333333"/>
        <rFont val="Noto Sans CJK SC"/>
        <family val="2"/>
      </rPr>
      <t xml:space="preserve">은 </t>
    </r>
    <r>
      <rPr>
        <sz val="9"/>
        <color rgb="FF333333"/>
        <rFont val="Arial"/>
        <family val="2"/>
        <charset val="1"/>
      </rPr>
      <t xml:space="preserve">60~300</t>
    </r>
    <r>
      <rPr>
        <sz val="9"/>
        <color rgb="FF333333"/>
        <rFont val="Noto Sans CJK SC"/>
        <family val="2"/>
      </rPr>
      <t xml:space="preserve">시간 이상 절감 — 꾸준히 심어두는 루틴이 핵심</t>
    </r>
  </si>
  <si>
    <t xml:space="preserve">▶  프리미엄 유저 (밭 10개 · 100개/일)</t>
  </si>
  <si>
    <r>
      <rPr>
        <sz val="9"/>
        <color rgb="FF333333"/>
        <rFont val="Arial"/>
        <family val="2"/>
        <charset val="1"/>
      </rPr>
      <t xml:space="preserve">  • T5 </t>
    </r>
    <r>
      <rPr>
        <sz val="9"/>
        <color rgb="FF333333"/>
        <rFont val="Noto Sans CJK SC"/>
        <family val="2"/>
      </rPr>
      <t xml:space="preserve">이하는 수</t>
    </r>
    <r>
      <rPr>
        <sz val="9"/>
        <color rgb="FF333333"/>
        <rFont val="Arial"/>
        <family val="2"/>
        <charset val="1"/>
      </rPr>
      <t xml:space="preserve">~</t>
    </r>
    <r>
      <rPr>
        <sz val="9"/>
        <color rgb="FF333333"/>
        <rFont val="Noto Sans CJK SC"/>
        <family val="2"/>
      </rPr>
      <t xml:space="preserve">수십 일 내 전량 하우징 수급 가능 → 필드 채집 대부분 생략</t>
    </r>
  </si>
  <si>
    <r>
      <rPr>
        <sz val="9"/>
        <color rgb="FF333333"/>
        <rFont val="Arial"/>
        <family val="2"/>
        <charset val="1"/>
      </rPr>
      <t xml:space="preserve">  • T6·T7</t>
    </r>
    <r>
      <rPr>
        <sz val="9"/>
        <color rgb="FF333333"/>
        <rFont val="Noto Sans CJK SC"/>
        <family val="2"/>
      </rPr>
      <t xml:space="preserve">도 </t>
    </r>
    <r>
      <rPr>
        <sz val="9"/>
        <color rgb="FF333333"/>
        <rFont val="Arial"/>
        <family val="2"/>
        <charset val="1"/>
      </rPr>
      <t xml:space="preserve">20~30</t>
    </r>
    <r>
      <rPr>
        <sz val="9"/>
        <color rgb="FF333333"/>
        <rFont val="Noto Sans CJK SC"/>
        <family val="2"/>
      </rPr>
      <t xml:space="preserve">일이면 전량 확보 — 프리미엄 차별화의 핵심 혜택</t>
    </r>
  </si>
  <si>
    <t xml:space="preserve">▶  설계 포인트</t>
  </si>
  <si>
    <t xml:space="preserve">  • 하우징 = '기다리는 자원' — 즉각 해결 아님, 장기 플레이어에게 유리한 구조</t>
  </si>
  <si>
    <t xml:space="preserve">  • 일반/프리미엄 10배 차이 → 유료 차별화로 충분하나 T6+ 격차는 기획 재검토 가능</t>
  </si>
  <si>
    <t xml:space="preserve">📊 티어별 채집 시간 기준 &amp; 신규 채집물 수량 역산표</t>
  </si>
  <si>
    <t xml:space="preserve">채집 소요 시간(고정) ÷ 티어별 채집 1회 시간 = 신규 채집물 수량  |  가공물 = 채집물 ÷ 10 (올림)  |  전리품·코어 수량 변경 없음</t>
  </si>
  <si>
    <t xml:space="preserve">무기
채집소요시간</t>
  </si>
  <si>
    <t xml:space="preserve">방어구
채집소요시간</t>
  </si>
  <si>
    <t xml:space="preserve">신 채집물수
(무기)</t>
  </si>
  <si>
    <t xml:space="preserve">신 채집물수
(방어구)</t>
  </si>
  <si>
    <t xml:space="preserve">신 가공물
(무기)</t>
  </si>
  <si>
    <t xml:space="preserve">신 가공물
(방어구)</t>
  </si>
  <si>
    <r>
      <rPr>
        <sz val="10"/>
        <rFont val="Arial"/>
        <family val="2"/>
        <charset val="1"/>
      </rPr>
      <t xml:space="preserve">2.5</t>
    </r>
    <r>
      <rPr>
        <sz val="10"/>
        <rFont val="Noto Sans CJK SC"/>
        <family val="2"/>
      </rPr>
      <t xml:space="preserve">분</t>
    </r>
  </si>
  <si>
    <r>
      <rPr>
        <sz val="10"/>
        <rFont val="Arial"/>
        <family val="2"/>
        <charset val="1"/>
      </rPr>
      <t xml:space="preserve">5.0</t>
    </r>
    <r>
      <rPr>
        <sz val="10"/>
        <rFont val="Noto Sans CJK SC"/>
        <family val="2"/>
      </rPr>
      <t xml:space="preserve">분</t>
    </r>
  </si>
  <si>
    <t xml:space="preserve">튜토리얼</t>
  </si>
  <si>
    <r>
      <rPr>
        <sz val="10"/>
        <rFont val="Arial"/>
        <family val="2"/>
        <charset val="1"/>
      </rPr>
      <t xml:space="preserve">10.0</t>
    </r>
    <r>
      <rPr>
        <sz val="10"/>
        <rFont val="Noto Sans CJK SC"/>
        <family val="2"/>
      </rPr>
      <t xml:space="preserve">분</t>
    </r>
  </si>
  <si>
    <r>
      <rPr>
        <sz val="10"/>
        <rFont val="Arial"/>
        <family val="2"/>
        <charset val="1"/>
      </rPr>
      <t xml:space="preserve">20.0</t>
    </r>
    <r>
      <rPr>
        <sz val="10"/>
        <rFont val="Noto Sans CJK SC"/>
        <family val="2"/>
      </rPr>
      <t xml:space="preserve">분</t>
    </r>
  </si>
  <si>
    <r>
      <rPr>
        <sz val="10"/>
        <rFont val="Arial"/>
        <family val="2"/>
        <charset val="1"/>
      </rPr>
      <t xml:space="preserve">30.0</t>
    </r>
    <r>
      <rPr>
        <sz val="10"/>
        <rFont val="Noto Sans CJK SC"/>
        <family val="2"/>
      </rPr>
      <t xml:space="preserve">분</t>
    </r>
  </si>
  <si>
    <r>
      <rPr>
        <sz val="10"/>
        <rFont val="Arial"/>
        <family val="2"/>
        <charset val="1"/>
      </rPr>
      <t xml:space="preserve">1.0</t>
    </r>
    <r>
      <rPr>
        <sz val="10"/>
        <rFont val="Noto Sans CJK SC"/>
        <family val="2"/>
      </rPr>
      <t xml:space="preserve">시간</t>
    </r>
  </si>
  <si>
    <r>
      <rPr>
        <sz val="10"/>
        <rFont val="Arial"/>
        <family val="2"/>
        <charset val="1"/>
      </rPr>
      <t xml:space="preserve">2.5</t>
    </r>
    <r>
      <rPr>
        <sz val="10"/>
        <rFont val="Noto Sans CJK SC"/>
        <family val="2"/>
      </rPr>
      <t xml:space="preserve">시간</t>
    </r>
  </si>
  <si>
    <r>
      <rPr>
        <sz val="10"/>
        <rFont val="Arial"/>
        <family val="2"/>
        <charset val="1"/>
      </rPr>
      <t xml:space="preserve">5.0</t>
    </r>
    <r>
      <rPr>
        <sz val="10"/>
        <rFont val="Noto Sans CJK SC"/>
        <family val="2"/>
      </rPr>
      <t xml:space="preserve">시간</t>
    </r>
  </si>
  <si>
    <r>
      <rPr>
        <sz val="10"/>
        <rFont val="Arial"/>
        <family val="2"/>
        <charset val="1"/>
      </rPr>
      <t xml:space="preserve">12.5</t>
    </r>
    <r>
      <rPr>
        <sz val="10"/>
        <rFont val="Noto Sans CJK SC"/>
        <family val="2"/>
      </rPr>
      <t xml:space="preserve">시간</t>
    </r>
  </si>
  <si>
    <r>
      <rPr>
        <sz val="10"/>
        <rFont val="Arial"/>
        <family val="2"/>
        <charset val="1"/>
      </rPr>
      <t xml:space="preserve">1.0</t>
    </r>
    <r>
      <rPr>
        <sz val="10"/>
        <rFont val="Noto Sans CJK SC"/>
        <family val="2"/>
      </rPr>
      <t xml:space="preserve">일</t>
    </r>
  </si>
  <si>
    <r>
      <rPr>
        <sz val="10"/>
        <rFont val="Arial"/>
        <family val="2"/>
        <charset val="1"/>
      </rPr>
      <t xml:space="preserve">2.6</t>
    </r>
    <r>
      <rPr>
        <sz val="10"/>
        <rFont val="Noto Sans CJK SC"/>
        <family val="2"/>
      </rPr>
      <t xml:space="preserve">일</t>
    </r>
  </si>
  <si>
    <r>
      <rPr>
        <sz val="10"/>
        <rFont val="Arial"/>
        <family val="2"/>
        <charset val="1"/>
      </rPr>
      <t xml:space="preserve">5.2</t>
    </r>
    <r>
      <rPr>
        <sz val="10"/>
        <rFont val="Noto Sans CJK SC"/>
        <family val="2"/>
      </rPr>
      <t xml:space="preserve">일</t>
    </r>
  </si>
  <si>
    <r>
      <rPr>
        <sz val="10"/>
        <rFont val="Arial"/>
        <family val="2"/>
        <charset val="1"/>
      </rPr>
      <t xml:space="preserve">13.0</t>
    </r>
    <r>
      <rPr>
        <sz val="10"/>
        <rFont val="Noto Sans CJK SC"/>
        <family val="2"/>
      </rPr>
      <t xml:space="preserve">일</t>
    </r>
  </si>
  <si>
    <r>
      <rPr>
        <sz val="10"/>
        <rFont val="Arial"/>
        <family val="2"/>
        <charset val="1"/>
      </rPr>
      <t xml:space="preserve">26.0</t>
    </r>
    <r>
      <rPr>
        <sz val="10"/>
        <rFont val="Noto Sans CJK SC"/>
        <family val="2"/>
      </rPr>
      <t xml:space="preserve">일</t>
    </r>
  </si>
  <si>
    <t xml:space="preserve">▶ 기존 대비 변경량 (신규 가공물 vs 기존 가공물)</t>
  </si>
  <si>
    <t xml:space="preserve">구 가공물
(무기)</t>
  </si>
  <si>
    <t xml:space="preserve">변화율
(무기)</t>
  </si>
  <si>
    <t xml:space="preserve">구 가공물
(방어구)</t>
  </si>
  <si>
    <t xml:space="preserve">변화율
(방어구)</t>
  </si>
  <si>
    <t xml:space="preserve">해석</t>
  </si>
  <si>
    <t xml:space="preserve">1.67x</t>
  </si>
  <si>
    <r>
      <rPr>
        <sz val="10"/>
        <rFont val="Arial"/>
        <family val="2"/>
        <charset val="1"/>
      </rPr>
      <t xml:space="preserve">T1 </t>
    </r>
    <r>
      <rPr>
        <sz val="10"/>
        <rFont val="Noto Sans CJK SC"/>
        <family val="2"/>
      </rPr>
      <t xml:space="preserve">채집 빠름 → 수량↑</t>
    </r>
  </si>
  <si>
    <t xml:space="preserve">1.17x</t>
  </si>
  <si>
    <t xml:space="preserve">전반적 감소</t>
  </si>
  <si>
    <t xml:space="preserve">0.67x</t>
  </si>
  <si>
    <t xml:space="preserve">0.32x</t>
  </si>
  <si>
    <t xml:space="preserve">소폭 감소</t>
  </si>
  <si>
    <t xml:space="preserve">0.13x</t>
  </si>
  <si>
    <t xml:space="preserve">대폭 감소</t>
  </si>
  <si>
    <t xml:space="preserve">0.04x</t>
  </si>
  <si>
    <t xml:space="preserve">0.01x</t>
  </si>
  <si>
    <t xml:space="preserve">드랍률 설계 — 경로별 드랍 정책</t>
  </si>
  <si>
    <t xml:space="preserve">핵심 원칙 : 드랍 개수 1개 고정, 확률 높게 설정 → 유저가 '자주 나온다'는 긍정적 체감 유도</t>
  </si>
  <si>
    <t xml:space="preserve">드랍 구분</t>
  </si>
  <si>
    <t xml:space="preserve">확률</t>
  </si>
  <si>
    <t xml:space="preserve">분당 기대 획득
(20마리 기준)</t>
  </si>
  <si>
    <t xml:space="preserve">시간당 기대 획득</t>
  </si>
  <si>
    <t xml:space="preserve">설계 의도</t>
  </si>
  <si>
    <t xml:space="preserve">유저 체감</t>
  </si>
  <si>
    <t xml:space="preserve">동일 티어 전리품</t>
  </si>
  <si>
    <t xml:space="preserve">15%</t>
  </si>
  <si>
    <t xml:space="preserve">사냥 중 빈번한 드랍 체감 유도</t>
  </si>
  <si>
    <r>
      <rPr>
        <sz val="10"/>
        <color rgb="FF1A1A1A"/>
        <rFont val="맑은 고딕"/>
        <family val="2"/>
        <charset val="129"/>
      </rPr>
      <t xml:space="preserve">7</t>
    </r>
    <r>
      <rPr>
        <sz val="10"/>
        <color rgb="FF1A1A1A"/>
        <rFont val="Noto Sans CJK SC"/>
        <family val="2"/>
      </rPr>
      <t xml:space="preserve">마리당 </t>
    </r>
    <r>
      <rPr>
        <sz val="10"/>
        <color rgb="FF1A1A1A"/>
        <rFont val="맑은 고딕"/>
        <family val="2"/>
        <charset val="129"/>
      </rPr>
      <t xml:space="preserve">1</t>
    </r>
    <r>
      <rPr>
        <sz val="10"/>
        <color rgb="FF1A1A1A"/>
        <rFont val="Noto Sans CJK SC"/>
        <family val="2"/>
      </rPr>
      <t xml:space="preserve">개 — </t>
    </r>
    <r>
      <rPr>
        <sz val="10"/>
        <color rgb="FF1A1A1A"/>
        <rFont val="맑은 고딕"/>
        <family val="2"/>
        <charset val="129"/>
      </rPr>
      <t xml:space="preserve">'</t>
    </r>
    <r>
      <rPr>
        <sz val="10"/>
        <color rgb="FF1A1A1A"/>
        <rFont val="Noto Sans CJK SC"/>
        <family val="2"/>
      </rPr>
      <t xml:space="preserve">자주 나온다</t>
    </r>
    <r>
      <rPr>
        <sz val="10"/>
        <color rgb="FF1A1A1A"/>
        <rFont val="맑은 고딕"/>
        <family val="2"/>
        <charset val="129"/>
      </rPr>
      <t xml:space="preserve">'</t>
    </r>
  </si>
  <si>
    <t xml:space="preserve">하위 티어 전리품</t>
  </si>
  <si>
    <t xml:space="preserve">2%</t>
  </si>
  <si>
    <t xml:space="preserve">고레벨 구간 하위 재료 자연 수급</t>
  </si>
  <si>
    <t xml:space="preserve">희귀하지만 가끔 나오는 부수입</t>
  </si>
  <si>
    <t xml:space="preserve">보스 완제품 드랍</t>
  </si>
  <si>
    <t xml:space="preserve">0.5~1%</t>
  </si>
  <si>
    <t xml:space="preserve">운빨 도파민 — 주력 경로 아님</t>
  </si>
  <si>
    <t xml:space="preserve">예상 밖 즉시 획득 — 짜릿함</t>
  </si>
  <si>
    <t xml:space="preserve">던전 코어</t>
  </si>
  <si>
    <r>
      <rPr>
        <b val="true"/>
        <sz val="10"/>
        <color rgb="FF1A1A1A"/>
        <rFont val="맑은 고딕"/>
        <family val="2"/>
        <charset val="129"/>
      </rPr>
      <t xml:space="preserve">100% </t>
    </r>
    <r>
      <rPr>
        <b val="true"/>
        <sz val="10"/>
        <color rgb="FF1A1A1A"/>
        <rFont val="Noto Sans CJK SC"/>
        <family val="2"/>
      </rPr>
      <t xml:space="preserve">확정
</t>
    </r>
    <r>
      <rPr>
        <b val="true"/>
        <sz val="10"/>
        <color rgb="FF1A1A1A"/>
        <rFont val="맑은 고딕"/>
        <family val="2"/>
        <charset val="129"/>
      </rPr>
      <t xml:space="preserve">(3~7</t>
    </r>
    <r>
      <rPr>
        <b val="true"/>
        <sz val="10"/>
        <color rgb="FF1A1A1A"/>
        <rFont val="Noto Sans CJK SC"/>
        <family val="2"/>
      </rPr>
      <t xml:space="preserve">개 랜덤</t>
    </r>
    <r>
      <rPr>
        <b val="true"/>
        <sz val="10"/>
        <color rgb="FF1A1A1A"/>
        <rFont val="맑은 고딕"/>
        <family val="2"/>
        <charset val="129"/>
      </rPr>
      <t xml:space="preserve">)</t>
    </r>
  </si>
  <si>
    <t xml:space="preserve">최대 21개/일
(3회×최대7개)</t>
  </si>
  <si>
    <t xml:space="preserve">천장 보장형 확정 드랍</t>
  </si>
  <si>
    <r>
      <rPr>
        <sz val="10"/>
        <color rgb="FF1A1A1A"/>
        <rFont val="맑은 고딕"/>
        <family val="2"/>
        <charset val="129"/>
      </rPr>
      <t xml:space="preserve">45</t>
    </r>
    <r>
      <rPr>
        <sz val="10"/>
        <color rgb="FF1A1A1A"/>
        <rFont val="Noto Sans CJK SC"/>
        <family val="2"/>
      </rPr>
      <t xml:space="preserve">분 투자의 확실한 보상</t>
    </r>
  </si>
  <si>
    <t xml:space="preserve">■  처치 횟수별 전리품 1개 이상 획득 누적 확률 (동일 티어 15%)</t>
  </si>
  <si>
    <t xml:space="preserve">처치 횟수</t>
  </si>
  <si>
    <t xml:space="preserve">누적 확률 (15%)</t>
  </si>
  <si>
    <t xml:space="preserve">체감</t>
  </si>
  <si>
    <r>
      <rPr>
        <sz val="10"/>
        <color rgb="FF1A1A1A"/>
        <rFont val="맑은 고딕"/>
        <family val="2"/>
        <charset val="129"/>
      </rPr>
      <t xml:space="preserve">5</t>
    </r>
    <r>
      <rPr>
        <sz val="10"/>
        <color rgb="FF1A1A1A"/>
        <rFont val="Noto Sans CJK SC"/>
        <family val="2"/>
      </rPr>
      <t xml:space="preserve">마리</t>
    </r>
  </si>
  <si>
    <t xml:space="preserve">절반 이상</t>
  </si>
  <si>
    <r>
      <rPr>
        <sz val="10"/>
        <color rgb="FF1A1A1A"/>
        <rFont val="맑은 고딕"/>
        <family val="2"/>
        <charset val="129"/>
      </rPr>
      <t xml:space="preserve">7</t>
    </r>
    <r>
      <rPr>
        <sz val="10"/>
        <color rgb="FF1A1A1A"/>
        <rFont val="Noto Sans CJK SC"/>
        <family val="2"/>
      </rPr>
      <t xml:space="preserve">마리</t>
    </r>
  </si>
  <si>
    <t xml:space="preserve">약 2/3</t>
  </si>
  <si>
    <r>
      <rPr>
        <sz val="10"/>
        <color rgb="FF1A1A1A"/>
        <rFont val="맑은 고딕"/>
        <family val="2"/>
        <charset val="129"/>
      </rPr>
      <t xml:space="preserve">10</t>
    </r>
    <r>
      <rPr>
        <sz val="10"/>
        <color rgb="FF1A1A1A"/>
        <rFont val="Noto Sans CJK SC"/>
        <family val="2"/>
      </rPr>
      <t xml:space="preserve">마리</t>
    </r>
  </si>
  <si>
    <r>
      <rPr>
        <sz val="10"/>
        <color rgb="FF1A1A1A"/>
        <rFont val="맑은 고딕"/>
        <family val="2"/>
        <charset val="129"/>
      </rPr>
      <t xml:space="preserve">80% </t>
    </r>
    <r>
      <rPr>
        <sz val="10"/>
        <color rgb="FF1A1A1A"/>
        <rFont val="Noto Sans CJK SC"/>
        <family val="2"/>
      </rPr>
      <t xml:space="preserve">이상</t>
    </r>
  </si>
  <si>
    <r>
      <rPr>
        <sz val="10"/>
        <color rgb="FF1A1A1A"/>
        <rFont val="맑은 고딕"/>
        <family val="2"/>
        <charset val="129"/>
      </rPr>
      <t xml:space="preserve">20</t>
    </r>
    <r>
      <rPr>
        <sz val="10"/>
        <color rgb="FF1A1A1A"/>
        <rFont val="Noto Sans CJK SC"/>
        <family val="2"/>
      </rPr>
      <t xml:space="preserve">마리</t>
    </r>
  </si>
  <si>
    <r>
      <rPr>
        <sz val="10"/>
        <color rgb="FF1A1A1A"/>
        <rFont val="맑은 고딕"/>
        <family val="2"/>
        <charset val="129"/>
      </rPr>
      <t xml:space="preserve">96% </t>
    </r>
    <r>
      <rPr>
        <sz val="10"/>
        <color rgb="FF1A1A1A"/>
        <rFont val="Noto Sans CJK SC"/>
        <family val="2"/>
      </rPr>
      <t xml:space="preserve">이상 — 거의 확실</t>
    </r>
  </si>
  <si>
    <r>
      <rPr>
        <sz val="10"/>
        <color rgb="FF1A1A1A"/>
        <rFont val="맑은 고딕"/>
        <family val="2"/>
        <charset val="129"/>
      </rPr>
      <t xml:space="preserve">30</t>
    </r>
    <r>
      <rPr>
        <sz val="10"/>
        <color rgb="FF1A1A1A"/>
        <rFont val="Noto Sans CJK SC"/>
        <family val="2"/>
      </rPr>
      <t xml:space="preserve">마리</t>
    </r>
  </si>
  <si>
    <r>
      <rPr>
        <sz val="10"/>
        <color rgb="FF1A1A1A"/>
        <rFont val="맑은 고딕"/>
        <family val="2"/>
        <charset val="129"/>
      </rPr>
      <t xml:space="preserve">99% </t>
    </r>
    <r>
      <rPr>
        <sz val="10"/>
        <color rgb="FF1A1A1A"/>
        <rFont val="Noto Sans CJK SC"/>
        <family val="2"/>
      </rPr>
      <t xml:space="preserve">이상 — 매우 확실</t>
    </r>
  </si>
  <si>
    <r>
      <rPr>
        <b val="true"/>
        <sz val="14"/>
        <color rgb="FFFFFFFF"/>
        <rFont val="맑은 고딕"/>
        <family val="2"/>
        <charset val="129"/>
      </rPr>
      <t xml:space="preserve">Craft.csv </t>
    </r>
    <r>
      <rPr>
        <b val="true"/>
        <sz val="14"/>
        <color rgb="FFFFFFFF"/>
        <rFont val="Noto Sans CJK SC"/>
        <family val="2"/>
      </rPr>
      <t xml:space="preserve">수량 반영안 — </t>
    </r>
    <r>
      <rPr>
        <b val="true"/>
        <sz val="14"/>
        <color rgb="FFFFFFFF"/>
        <rFont val="맑은 고딕"/>
        <family val="2"/>
        <charset val="129"/>
      </rPr>
      <t xml:space="preserve">MaterialItemCounts </t>
    </r>
    <r>
      <rPr>
        <b val="true"/>
        <sz val="14"/>
        <color rgb="FFFFFFFF"/>
        <rFont val="Noto Sans CJK SC"/>
        <family val="2"/>
      </rPr>
      <t xml:space="preserve">변경 계획</t>
    </r>
  </si>
  <si>
    <t xml:space="preserve">재료 구성(MaterialItemCids) 변경 없음 — 수량(MaterialItemCounts)만 변경  |  빨간 셀 = 변경된 수량  |  52xx=가공물  |  53xx 0001/0002=코어  |  53xx 0003~=전리품</t>
  </si>
  <si>
    <t xml:space="preserve">OID</t>
  </si>
  <si>
    <t xml:space="preserve">제작 항목</t>
  </si>
  <si>
    <t xml:space="preserve">재료1 (Cid)</t>
  </si>
  <si>
    <t xml:space="preserve">재료1
기존 → 신규</t>
  </si>
  <si>
    <t xml:space="preserve">재료2 (Cid)</t>
  </si>
  <si>
    <t xml:space="preserve">재료2
기존 → 신규</t>
  </si>
  <si>
    <t xml:space="preserve">재료3 (Cid)</t>
  </si>
  <si>
    <t xml:space="preserve">재료3
기존 → 신규</t>
  </si>
  <si>
    <t xml:space="preserve">10010001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</si>
  <si>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장검</t>
    </r>
  </si>
  <si>
    <t xml:space="preserve">52010001</t>
  </si>
  <si>
    <t xml:space="preserve">1</t>
  </si>
  <si>
    <t xml:space="preserve">10010101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</si>
  <si>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양손검</t>
    </r>
  </si>
  <si>
    <t xml:space="preserve">10010201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</si>
  <si>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단검</t>
    </r>
  </si>
  <si>
    <t xml:space="preserve">10010301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</si>
  <si>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활</t>
    </r>
  </si>
  <si>
    <t xml:space="preserve">52010003</t>
  </si>
  <si>
    <t xml:space="preserve">10010401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</si>
  <si>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지팡이</t>
    </r>
  </si>
  <si>
    <t xml:space="preserve">10020001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</si>
  <si>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장검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</si>
  <si>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52020001</t>
  </si>
  <si>
    <t xml:space="preserve">2 → 8</t>
  </si>
  <si>
    <t xml:space="preserve">52020003</t>
  </si>
  <si>
    <t xml:space="preserve">1 → 4</t>
  </si>
  <si>
    <t xml:space="preserve">53020003</t>
  </si>
  <si>
    <t xml:space="preserve">10 → 60</t>
  </si>
  <si>
    <t xml:space="preserve">10020101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</si>
  <si>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양손검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</si>
  <si>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10020201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</si>
  <si>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단검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</si>
  <si>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52020004</t>
  </si>
  <si>
    <t xml:space="preserve">10020301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</si>
  <si>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</si>
  <si>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10020401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</si>
  <si>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지팡이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</si>
  <si>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52020002</t>
  </si>
  <si>
    <t xml:space="preserve">10020002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</si>
  <si>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장검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</si>
  <si>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53020001</t>
  </si>
  <si>
    <t xml:space="preserve">1 → 3</t>
  </si>
  <si>
    <t xml:space="preserve">10020102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</si>
  <si>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양손검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</si>
  <si>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10020202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</si>
  <si>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단검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</si>
  <si>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10020302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</si>
  <si>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</si>
  <si>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10020402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</si>
  <si>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지팡이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</si>
  <si>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10030001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</si>
  <si>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장검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</si>
  <si>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52030001</t>
  </si>
  <si>
    <t xml:space="preserve">10 → 24</t>
  </si>
  <si>
    <t xml:space="preserve">52030003</t>
  </si>
  <si>
    <t xml:space="preserve">5 → 12</t>
  </si>
  <si>
    <t xml:space="preserve">53030005</t>
  </si>
  <si>
    <t xml:space="preserve">10 → 180</t>
  </si>
  <si>
    <t xml:space="preserve">10030101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</si>
  <si>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양손검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</si>
  <si>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10030201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</si>
  <si>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단검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</si>
  <si>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52030004</t>
  </si>
  <si>
    <t xml:space="preserve">10030301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</si>
  <si>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</si>
  <si>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10030401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</si>
  <si>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지팡이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</si>
  <si>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52030002</t>
  </si>
  <si>
    <t xml:space="preserve">10030002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</si>
  <si>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장검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</si>
  <si>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53030001</t>
  </si>
  <si>
    <t xml:space="preserve">2 → 15</t>
  </si>
  <si>
    <t xml:space="preserve">10030102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</si>
  <si>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양손검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</si>
  <si>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10030202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</si>
  <si>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단검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</si>
  <si>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10030302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</si>
  <si>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</si>
  <si>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10030402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</si>
  <si>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지팡이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</si>
  <si>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10040001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</si>
  <si>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장검</t>
    </r>
  </si>
  <si>
    <t xml:space="preserve">52040001</t>
  </si>
  <si>
    <t xml:space="preserve">8 → 120</t>
  </si>
  <si>
    <t xml:space="preserve">52040003</t>
  </si>
  <si>
    <t xml:space="preserve">4 → 60</t>
  </si>
  <si>
    <t xml:space="preserve">53040001</t>
  </si>
  <si>
    <t xml:space="preserve">3 → 45</t>
  </si>
  <si>
    <t xml:space="preserve">10040101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</si>
  <si>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양손검</t>
    </r>
  </si>
  <si>
    <t xml:space="preserve">10040201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</si>
  <si>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단검</t>
    </r>
  </si>
  <si>
    <t xml:space="preserve">52040004</t>
  </si>
  <si>
    <t xml:space="preserve">10040301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</si>
  <si>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활</t>
    </r>
  </si>
  <si>
    <t xml:space="preserve">10040401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</si>
  <si>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지팡이</t>
    </r>
  </si>
  <si>
    <t xml:space="preserve">52040002</t>
  </si>
  <si>
    <t xml:space="preserve">10050001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</si>
  <si>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장검</t>
    </r>
  </si>
  <si>
    <t xml:space="preserve">52050001</t>
  </si>
  <si>
    <t xml:space="preserve">16 → 600</t>
  </si>
  <si>
    <t xml:space="preserve">52050003</t>
  </si>
  <si>
    <t xml:space="preserve">8 → 300</t>
  </si>
  <si>
    <t xml:space="preserve">53050001</t>
  </si>
  <si>
    <t xml:space="preserve">10 → 150</t>
  </si>
  <si>
    <t xml:space="preserve">10050101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</si>
  <si>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양손검</t>
    </r>
  </si>
  <si>
    <t xml:space="preserve">10050201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</si>
  <si>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단검</t>
    </r>
  </si>
  <si>
    <t xml:space="preserve">52050004</t>
  </si>
  <si>
    <t xml:space="preserve">10050301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</si>
  <si>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활</t>
    </r>
  </si>
  <si>
    <t xml:space="preserve">10050401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</si>
  <si>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지팡이</t>
    </r>
  </si>
  <si>
    <t xml:space="preserve">52050002</t>
  </si>
  <si>
    <t xml:space="preserve">10060001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</si>
  <si>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장검</t>
    </r>
  </si>
  <si>
    <t xml:space="preserve">52060001</t>
  </si>
  <si>
    <t xml:space="preserve">32 → 3000</t>
  </si>
  <si>
    <t xml:space="preserve">52060003</t>
  </si>
  <si>
    <t xml:space="preserve">16 → 1500</t>
  </si>
  <si>
    <t xml:space="preserve">53060001</t>
  </si>
  <si>
    <t xml:space="preserve">30 → 450</t>
  </si>
  <si>
    <t xml:space="preserve">10060101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</si>
  <si>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양손검</t>
    </r>
  </si>
  <si>
    <t xml:space="preserve">10060201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</si>
  <si>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단검</t>
    </r>
  </si>
  <si>
    <t xml:space="preserve">52060004</t>
  </si>
  <si>
    <t xml:space="preserve">10060301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</si>
  <si>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활</t>
    </r>
  </si>
  <si>
    <t xml:space="preserve">10060401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</si>
  <si>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지팡이</t>
    </r>
  </si>
  <si>
    <t xml:space="preserve">52060002</t>
  </si>
  <si>
    <t xml:space="preserve">10070001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</si>
  <si>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장검</t>
    </r>
  </si>
  <si>
    <t xml:space="preserve">52070001</t>
  </si>
  <si>
    <t xml:space="preserve">64 → 15000</t>
  </si>
  <si>
    <t xml:space="preserve">52070003</t>
  </si>
  <si>
    <t xml:space="preserve">32 → 7500</t>
  </si>
  <si>
    <t xml:space="preserve">53070001</t>
  </si>
  <si>
    <t xml:space="preserve">30 → 1500</t>
  </si>
  <si>
    <t xml:space="preserve">10070101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</si>
  <si>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양손검</t>
    </r>
  </si>
  <si>
    <t xml:space="preserve">10070201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</si>
  <si>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단검</t>
    </r>
  </si>
  <si>
    <t xml:space="preserve">52070004</t>
  </si>
  <si>
    <t xml:space="preserve">10070301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</si>
  <si>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활</t>
    </r>
  </si>
  <si>
    <t xml:space="preserve">10070401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</si>
  <si>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지팡이</t>
    </r>
  </si>
  <si>
    <t xml:space="preserve">52070002</t>
  </si>
  <si>
    <t xml:space="preserve">20000001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</si>
  <si>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판금 투구</t>
    </r>
  </si>
  <si>
    <t xml:space="preserve">20000101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</si>
  <si>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가죽 투구</t>
    </r>
  </si>
  <si>
    <t xml:space="preserve">52010004</t>
  </si>
  <si>
    <t xml:space="preserve">20000201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</si>
  <si>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천 투구</t>
    </r>
  </si>
  <si>
    <t xml:space="preserve">52010002</t>
  </si>
  <si>
    <t xml:space="preserve">20001001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</si>
  <si>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판금 갑옷</t>
    </r>
  </si>
  <si>
    <t xml:space="preserve">20001101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</si>
  <si>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가죽 갑옷</t>
    </r>
  </si>
  <si>
    <t xml:space="preserve">20001201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</si>
  <si>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천 갑옷</t>
    </r>
  </si>
  <si>
    <t xml:space="preserve">20002001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</si>
  <si>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판금 장갑</t>
    </r>
  </si>
  <si>
    <t xml:space="preserve">20002101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</si>
  <si>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가죽 장갑</t>
    </r>
  </si>
  <si>
    <t xml:space="preserve">20002201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</si>
  <si>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천 장갑</t>
    </r>
  </si>
  <si>
    <t xml:space="preserve">20003001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</si>
  <si>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판금 신발</t>
    </r>
  </si>
  <si>
    <t xml:space="preserve">20003101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</si>
  <si>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가죽 신발</t>
    </r>
  </si>
  <si>
    <t xml:space="preserve">20003201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</si>
  <si>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천 신발</t>
    </r>
  </si>
  <si>
    <t xml:space="preserve">20010001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</si>
  <si>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판금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</si>
  <si>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 → 3</t>
  </si>
  <si>
    <t xml:space="preserve">53010005</t>
  </si>
  <si>
    <t xml:space="preserve">1 → 15</t>
  </si>
  <si>
    <t xml:space="preserve">20010101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</si>
  <si>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가죽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</si>
  <si>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20010201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</si>
  <si>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천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</si>
  <si>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20011001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</si>
  <si>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판금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</si>
  <si>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20011101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</si>
  <si>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가죽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</si>
  <si>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20011201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</si>
  <si>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천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</si>
  <si>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20012001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</si>
  <si>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판금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</si>
  <si>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20012101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</si>
  <si>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가죽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</si>
  <si>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20012201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</si>
  <si>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천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</si>
  <si>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20013001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</si>
  <si>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판금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</si>
  <si>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20013101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</si>
  <si>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가죽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</si>
  <si>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20013201</t>
  </si>
  <si>
    <r>
      <rPr>
        <sz val="10"/>
        <color rgb="FF1A1A1A"/>
        <rFont val="맑은 고딕"/>
        <family val="2"/>
        <charset val="129"/>
      </rPr>
      <t xml:space="preserve">1T </t>
    </r>
    <r>
      <rPr>
        <sz val="10"/>
        <color rgb="FF1A1A1A"/>
        <rFont val="Noto Sans CJK SC"/>
        <family val="2"/>
      </rPr>
      <t xml:space="preserve">천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</si>
  <si>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20020001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</si>
  <si>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판금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</si>
  <si>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 → 24</t>
  </si>
  <si>
    <t xml:space="preserve">53020002</t>
  </si>
  <si>
    <t xml:space="preserve">20020101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</si>
  <si>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가죽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</si>
  <si>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20020201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</si>
  <si>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천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</si>
  <si>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20021001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</si>
  <si>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판금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</si>
  <si>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20021101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</si>
  <si>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가죽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</si>
  <si>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20021201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</si>
  <si>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천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</si>
  <si>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20022001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</si>
  <si>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판금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</si>
  <si>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20022101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</si>
  <si>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가죽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</si>
  <si>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20022201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</si>
  <si>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천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</si>
  <si>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20023001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</si>
  <si>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판금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</si>
  <si>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20023101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</si>
  <si>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가죽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</si>
  <si>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20023201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</si>
  <si>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천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</si>
  <si>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20020002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</si>
  <si>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판금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</si>
  <si>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53020004</t>
  </si>
  <si>
    <t xml:space="preserve">5 → 120</t>
  </si>
  <si>
    <t xml:space="preserve">20020102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</si>
  <si>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가죽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</si>
  <si>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20020202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</si>
  <si>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천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</si>
  <si>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20021002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</si>
  <si>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판금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</si>
  <si>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20021102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</si>
  <si>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가죽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</si>
  <si>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20021202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</si>
  <si>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천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</si>
  <si>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20022002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</si>
  <si>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판금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</si>
  <si>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20022102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</si>
  <si>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가죽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</si>
  <si>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20022202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</si>
  <si>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천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</si>
  <si>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20023002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</si>
  <si>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판금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</si>
  <si>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20023102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</si>
  <si>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가죽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</si>
  <si>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20023202</t>
  </si>
  <si>
    <r>
      <rPr>
        <sz val="10"/>
        <color rgb="FF1A1A1A"/>
        <rFont val="맑은 고딕"/>
        <family val="2"/>
        <charset val="129"/>
      </rPr>
      <t xml:space="preserve">2T </t>
    </r>
    <r>
      <rPr>
        <sz val="10"/>
        <color rgb="FF1A1A1A"/>
        <rFont val="Noto Sans CJK SC"/>
        <family val="2"/>
      </rPr>
      <t xml:space="preserve">천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</si>
  <si>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20030001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</si>
  <si>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판금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</si>
  <si>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10 → 72</t>
  </si>
  <si>
    <t xml:space="preserve">53030002</t>
  </si>
  <si>
    <t xml:space="preserve">20030101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</si>
  <si>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가죽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</si>
  <si>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20030201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</si>
  <si>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천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</si>
  <si>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20031001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</si>
  <si>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판금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</si>
  <si>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20031101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</si>
  <si>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가죽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</si>
  <si>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20031201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</si>
  <si>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천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</si>
  <si>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20032001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</si>
  <si>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판금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</si>
  <si>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20032101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</si>
  <si>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가죽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</si>
  <si>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20032201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</si>
  <si>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천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</si>
  <si>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20033001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</si>
  <si>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판금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</si>
  <si>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20033101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</si>
  <si>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가죽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</si>
  <si>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20033201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</si>
  <si>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천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일반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</si>
  <si>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20030002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</si>
  <si>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판금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</si>
  <si>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53030006</t>
  </si>
  <si>
    <t xml:space="preserve">5 → 360</t>
  </si>
  <si>
    <t xml:space="preserve">20030102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</si>
  <si>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가죽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</si>
  <si>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20030202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</si>
  <si>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천 투구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</si>
  <si>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20031002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</si>
  <si>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판금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</si>
  <si>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20031102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</si>
  <si>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가죽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</si>
  <si>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20031202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</si>
  <si>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천 갑옷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</si>
  <si>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20032002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</si>
  <si>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판금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</si>
  <si>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20032102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</si>
  <si>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가죽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</si>
  <si>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20032202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</si>
  <si>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천 장갑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</si>
  <si>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20033002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</si>
  <si>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판금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</si>
  <si>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20033102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</si>
  <si>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가죽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</si>
  <si>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20033202</t>
  </si>
  <si>
    <r>
      <rPr>
        <sz val="10"/>
        <color rgb="FF1A1A1A"/>
        <rFont val="맑은 고딕"/>
        <family val="2"/>
        <charset val="129"/>
      </rPr>
      <t xml:space="preserve">3T </t>
    </r>
    <r>
      <rPr>
        <sz val="10"/>
        <color rgb="FF1A1A1A"/>
        <rFont val="Noto Sans CJK SC"/>
        <family val="2"/>
      </rPr>
      <t xml:space="preserve">천 신발</t>
    </r>
    <r>
      <rPr>
        <sz val="10"/>
        <color rgb="FF1A1A1A"/>
        <rFont val="맑은 고딕"/>
        <family val="2"/>
        <charset val="129"/>
      </rPr>
      <t xml:space="preserve">(</t>
    </r>
    <r>
      <rPr>
        <sz val="10"/>
        <color rgb="FF1A1A1A"/>
        <rFont val="Noto Sans CJK SC"/>
        <family val="2"/>
      </rPr>
      <t xml:space="preserve">특수</t>
    </r>
    <r>
      <rPr>
        <sz val="10"/>
        <color rgb="FF1A1A1A"/>
        <rFont val="맑은 고딕"/>
        <family val="2"/>
        <charset val="129"/>
      </rPr>
      <t xml:space="preserve">)</t>
    </r>
  </si>
  <si>
    <t xml:space="preserve">20040001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</si>
  <si>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판금 투구</t>
    </r>
  </si>
  <si>
    <t xml:space="preserve">8 → 360</t>
  </si>
  <si>
    <t xml:space="preserve">53040002</t>
  </si>
  <si>
    <t xml:space="preserve">20040101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</si>
  <si>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가죽 투구</t>
    </r>
  </si>
  <si>
    <t xml:space="preserve">20040201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</si>
  <si>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천 투구</t>
    </r>
  </si>
  <si>
    <t xml:space="preserve">20041001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</si>
  <si>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판금 갑옷</t>
    </r>
  </si>
  <si>
    <t xml:space="preserve">20041101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</si>
  <si>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가죽 갑옷</t>
    </r>
  </si>
  <si>
    <t xml:space="preserve">20041201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</si>
  <si>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천 갑옷</t>
    </r>
  </si>
  <si>
    <t xml:space="preserve">20042001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</si>
  <si>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판금 신발</t>
    </r>
  </si>
  <si>
    <t xml:space="preserve">20042101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</si>
  <si>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가죽 신발</t>
    </r>
  </si>
  <si>
    <t xml:space="preserve">20042201</t>
  </si>
  <si>
    <r>
      <rPr>
        <sz val="10"/>
        <color rgb="FF1A1A1A"/>
        <rFont val="맑은 고딕"/>
        <family val="2"/>
        <charset val="129"/>
      </rPr>
      <t xml:space="preserve">4T </t>
    </r>
    <r>
      <rPr>
        <sz val="10"/>
        <color rgb="FF1A1A1A"/>
        <rFont val="Noto Sans CJK SC"/>
        <family val="2"/>
      </rPr>
      <t xml:space="preserve">천 신발</t>
    </r>
  </si>
  <si>
    <t xml:space="preserve">20050001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</si>
  <si>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판금 투구</t>
    </r>
  </si>
  <si>
    <t xml:space="preserve">16 → 1800</t>
  </si>
  <si>
    <t xml:space="preserve">53050002</t>
  </si>
  <si>
    <t xml:space="preserve">20050101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</si>
  <si>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가죽 투구</t>
    </r>
  </si>
  <si>
    <t xml:space="preserve">20050201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</si>
  <si>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천 투구</t>
    </r>
  </si>
  <si>
    <t xml:space="preserve">20051001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</si>
  <si>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판금 갑옷</t>
    </r>
  </si>
  <si>
    <t xml:space="preserve">20051101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</si>
  <si>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가죽 갑옷</t>
    </r>
  </si>
  <si>
    <t xml:space="preserve">20051201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</si>
  <si>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천 갑옷</t>
    </r>
  </si>
  <si>
    <t xml:space="preserve">20052001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</si>
  <si>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판금 신발</t>
    </r>
  </si>
  <si>
    <t xml:space="preserve">20052101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</si>
  <si>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가죽 신발</t>
    </r>
  </si>
  <si>
    <t xml:space="preserve">20052201</t>
  </si>
  <si>
    <r>
      <rPr>
        <sz val="10"/>
        <color rgb="FF1A1A1A"/>
        <rFont val="맑은 고딕"/>
        <family val="2"/>
        <charset val="129"/>
      </rPr>
      <t xml:space="preserve">5T </t>
    </r>
    <r>
      <rPr>
        <sz val="10"/>
        <color rgb="FF1A1A1A"/>
        <rFont val="Noto Sans CJK SC"/>
        <family val="2"/>
      </rPr>
      <t xml:space="preserve">천 신발</t>
    </r>
  </si>
  <si>
    <t xml:space="preserve">20060001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</si>
  <si>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판금 투구</t>
    </r>
  </si>
  <si>
    <t xml:space="preserve">32 → 9000</t>
  </si>
  <si>
    <t xml:space="preserve">53060002</t>
  </si>
  <si>
    <t xml:space="preserve">20060101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</si>
  <si>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가죽 투구</t>
    </r>
  </si>
  <si>
    <t xml:space="preserve">20060201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</si>
  <si>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천 투구</t>
    </r>
  </si>
  <si>
    <t xml:space="preserve">20061001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</si>
  <si>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판금 갑옷</t>
    </r>
  </si>
  <si>
    <t xml:space="preserve">20061101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</si>
  <si>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가죽 갑옷</t>
    </r>
  </si>
  <si>
    <t xml:space="preserve">20061201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</si>
  <si>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천 갑옷</t>
    </r>
  </si>
  <si>
    <t xml:space="preserve">20062001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</si>
  <si>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판금 신발</t>
    </r>
  </si>
  <si>
    <t xml:space="preserve">20062101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</si>
  <si>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가죽 신발</t>
    </r>
  </si>
  <si>
    <t xml:space="preserve">20062201</t>
  </si>
  <si>
    <r>
      <rPr>
        <sz val="10"/>
        <color rgb="FF1A1A1A"/>
        <rFont val="맑은 고딕"/>
        <family val="2"/>
        <charset val="129"/>
      </rPr>
      <t xml:space="preserve">6T </t>
    </r>
    <r>
      <rPr>
        <sz val="10"/>
        <color rgb="FF1A1A1A"/>
        <rFont val="Noto Sans CJK SC"/>
        <family val="2"/>
      </rPr>
      <t xml:space="preserve">천 신발</t>
    </r>
  </si>
  <si>
    <t xml:space="preserve">20070001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</si>
  <si>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판금 투구</t>
    </r>
  </si>
  <si>
    <t xml:space="preserve">64 → 45000</t>
  </si>
  <si>
    <t xml:space="preserve">53070002</t>
  </si>
  <si>
    <t xml:space="preserve">20070101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</si>
  <si>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가죽 투구</t>
    </r>
  </si>
  <si>
    <t xml:space="preserve">20070201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</si>
  <si>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천 투구</t>
    </r>
  </si>
  <si>
    <t xml:space="preserve">20071001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</si>
  <si>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판금 갑옷</t>
    </r>
  </si>
  <si>
    <t xml:space="preserve">20071101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</si>
  <si>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가죽 갑옷</t>
    </r>
  </si>
  <si>
    <t xml:space="preserve">20071201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</si>
  <si>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천 갑옷</t>
    </r>
  </si>
  <si>
    <t xml:space="preserve">20072001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</si>
  <si>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판금 신발</t>
    </r>
  </si>
  <si>
    <t xml:space="preserve">20072101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</si>
  <si>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가죽 신발</t>
    </r>
  </si>
  <si>
    <t xml:space="preserve">20072201</t>
  </si>
  <si>
    <r>
      <rPr>
        <sz val="10"/>
        <color rgb="FF1A1A1A"/>
        <rFont val="맑은 고딕"/>
        <family val="2"/>
        <charset val="129"/>
      </rPr>
      <t xml:space="preserve">7T </t>
    </r>
    <r>
      <rPr>
        <sz val="10"/>
        <color rgb="FF1A1A1A"/>
        <rFont val="Noto Sans CJK SC"/>
        <family val="2"/>
      </rPr>
      <t xml:space="preserve">천 신발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</si>
</sst>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0"/>
    <numFmt numFmtId="167" formatCode="0.0%"/>
  </numFmts>
  <fonts count="9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  <charset val="1"/>
    </font>
    <font>
      <i val="true"/>
      <sz val="9"/>
      <color rgb="FF555555"/>
      <name val="Noto Sans CJK SC"/>
      <family val="2"/>
      <charset val="1"/>
    </font>
    <font>
      <b val="true"/>
      <sz val="13"/>
      <color rgb="FFFFFFFF"/>
      <name val="Noto Sans CJK SC"/>
      <family val="2"/>
      <charset val="1"/>
    </font>
    <font>
      <sz val="10"/>
      <color rgb="FF1A1A1A"/>
      <name val="Noto Sans CJK SC"/>
      <family val="2"/>
      <charset val="1"/>
    </font>
    <font>
      <b val="true"/>
      <sz val="9"/>
      <color rgb="FF1A8754"/>
      <name val="Noto Sans CJK SC"/>
      <family val="2"/>
      <charset val="1"/>
    </font>
    <font>
      <sz val="10"/>
      <color rgb="FF333333"/>
      <name val="맑은 고딕"/>
      <family val="2"/>
      <charset val="129"/>
    </font>
    <font>
      <sz val="10"/>
      <color rgb="FF333333"/>
      <name val="Noto Sans CJK SC"/>
      <family val="2"/>
    </font>
    <font>
      <sz val="10"/>
      <color rgb="FF1A1A1A"/>
      <name val="맑은 고딕"/>
      <family val="2"/>
      <charset val="129"/>
    </font>
    <font>
      <sz val="10"/>
      <color rgb="FF333333"/>
      <name val="Noto Sans CJK SC"/>
      <family val="2"/>
      <charset val="1"/>
    </font>
    <font>
      <b val="true"/>
      <u val="single"/>
      <sz val="10"/>
      <color rgb="FFFFFFFF"/>
      <name val="맑은 고딕"/>
      <family val="2"/>
      <charset val="129"/>
    </font>
    <font>
      <b val="true"/>
      <sz val="9"/>
      <color rgb="FF9A7D0A"/>
      <name val="Noto Sans CJK SC"/>
      <family val="2"/>
      <charset val="1"/>
    </font>
    <font>
      <b val="true"/>
      <sz val="9"/>
      <color rgb="FF7D3C98"/>
      <name val="Noto Sans CJK SC"/>
      <family val="2"/>
      <charset val="1"/>
    </font>
    <font>
      <b val="true"/>
      <sz val="9"/>
      <color rgb="FFC0392B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18"/>
      <color rgb="FFFFFFFF"/>
      <name val="Noto Sans CJK SC"/>
      <family val="2"/>
      <charset val="1"/>
    </font>
    <font>
      <b val="true"/>
      <u val="single"/>
      <sz val="9"/>
      <color rgb="FFFFFFFF"/>
      <name val="맑은 고딕"/>
      <family val="2"/>
      <charset val="129"/>
    </font>
    <font>
      <sz val="10"/>
      <color rgb="FF1C2833"/>
      <name val="Noto Sans CJK SC"/>
      <family val="2"/>
      <charset val="1"/>
    </font>
    <font>
      <sz val="10"/>
      <color rgb="FF1C2833"/>
      <name val="맑은 고딕"/>
      <family val="2"/>
      <charset val="129"/>
    </font>
    <font>
      <sz val="10"/>
      <color rgb="FF1C2833"/>
      <name val="Noto Sans CJK SC"/>
      <family val="2"/>
    </font>
    <font>
      <b val="true"/>
      <sz val="12"/>
      <color rgb="FFFFFFFF"/>
      <name val="Noto Sans CJK SC"/>
      <family val="2"/>
    </font>
    <font>
      <u val="single"/>
      <sz val="9"/>
      <color rgb="FF1F618D"/>
      <name val="Noto Sans CJK SC"/>
      <family val="2"/>
    </font>
    <font>
      <sz val="10"/>
      <name val="맑은 고딕"/>
      <family val="0"/>
      <charset val="1"/>
    </font>
    <font>
      <sz val="9"/>
      <color rgb="FF1B3A5C"/>
      <name val="Noto Sans CJK SC"/>
      <family val="2"/>
    </font>
    <font>
      <sz val="9"/>
      <color rgb="FF1B3A5C"/>
      <name val="맑은 고딕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b val="true"/>
      <sz val="10"/>
      <color rgb="FFFFFFFF"/>
      <name val="맑은 고딕"/>
      <family val="0"/>
      <charset val="1"/>
    </font>
    <font>
      <sz val="10"/>
      <color rgb="FF000000"/>
      <name val="맑은 고딕"/>
      <family val="0"/>
      <charset val="1"/>
    </font>
    <font>
      <sz val="10"/>
      <color rgb="FF000000"/>
      <name val="Noto Sans CJK SC"/>
      <family val="2"/>
    </font>
    <font>
      <sz val="9"/>
      <color rgb="FF000000"/>
      <name val="맑은 고딕"/>
      <family val="0"/>
      <charset val="1"/>
    </font>
    <font>
      <sz val="9"/>
      <color rgb="FF000000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9"/>
      <color rgb="FF000000"/>
      <name val="Noto Sans CJK SC"/>
      <family val="2"/>
    </font>
    <font>
      <b val="true"/>
      <sz val="9"/>
      <color rgb="FF000000"/>
      <name val="맑은 고딕"/>
      <family val="0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2E86C1"/>
      <name val="맑은 고딕"/>
      <family val="2"/>
      <charset val="129"/>
    </font>
    <font>
      <b val="true"/>
      <u val="single"/>
      <sz val="10"/>
      <color rgb="FF1A8754"/>
      <name val="Noto Sans CJK SC"/>
      <family val="2"/>
      <charset val="1"/>
    </font>
    <font>
      <sz val="10"/>
      <color rgb="FF888888"/>
      <name val="맑은 고딕"/>
      <family val="2"/>
      <charset val="129"/>
    </font>
    <font>
      <i val="true"/>
      <sz val="10"/>
      <color rgb="FF555555"/>
      <name val="Noto Sans CJK SC"/>
      <family val="2"/>
      <charset val="1"/>
    </font>
    <font>
      <b val="true"/>
      <sz val="10"/>
      <color rgb="FF1A5276"/>
      <name val="맑은 고딕"/>
      <family val="2"/>
      <charset val="129"/>
    </font>
    <font>
      <b val="true"/>
      <u val="single"/>
      <sz val="10"/>
      <color rgb="FF9A7D0A"/>
      <name val="Noto Sans CJK SC"/>
      <family val="2"/>
      <charset val="1"/>
    </font>
    <font>
      <i val="true"/>
      <sz val="10"/>
      <color rgb="FF555555"/>
      <name val="맑은 고딕"/>
      <family val="2"/>
      <charset val="129"/>
    </font>
    <font>
      <i val="true"/>
      <sz val="10"/>
      <color rgb="FF555555"/>
      <name val="Noto Sans CJK SC"/>
      <family val="2"/>
    </font>
    <font>
      <b val="true"/>
      <u val="single"/>
      <sz val="10"/>
      <color rgb="FF7D3C98"/>
      <name val="Noto Sans CJK SC"/>
      <family val="2"/>
      <charset val="1"/>
    </font>
    <font>
      <b val="true"/>
      <u val="single"/>
      <sz val="10"/>
      <color rgb="FFC0392B"/>
      <name val="Noto Sans CJK SC"/>
      <family val="2"/>
      <charset val="1"/>
    </font>
    <font>
      <b val="true"/>
      <sz val="10"/>
      <color rgb="FF1E8449"/>
      <name val="맑은 고딕"/>
      <family val="2"/>
      <charset val="129"/>
    </font>
    <font>
      <sz val="10"/>
      <color rgb="FF1A1A1A"/>
      <name val="Noto Sans CJK SC"/>
      <family val="2"/>
    </font>
    <font>
      <b val="true"/>
      <sz val="10"/>
      <color rgb="FF2E86C1"/>
      <name val="Noto Sans CJK SC"/>
      <family val="2"/>
    </font>
    <font>
      <b val="true"/>
      <sz val="10"/>
      <color rgb="FF1A5276"/>
      <name val="Noto Sans CJK SC"/>
      <family val="2"/>
    </font>
    <font>
      <b val="true"/>
      <sz val="10"/>
      <color rgb="FF1E8449"/>
      <name val="Noto Sans CJK SC"/>
      <family val="2"/>
    </font>
    <font>
      <b val="true"/>
      <sz val="10"/>
      <color rgb="FF1A8754"/>
      <name val="Noto Sans CJK SC"/>
      <family val="2"/>
      <charset val="1"/>
    </font>
    <font>
      <b val="true"/>
      <sz val="10"/>
      <color rgb="FF9A7D0A"/>
      <name val="Noto Sans CJK SC"/>
      <family val="2"/>
      <charset val="1"/>
    </font>
    <font>
      <b val="true"/>
      <sz val="10"/>
      <color rgb="FF7D3C98"/>
      <name val="Noto Sans CJK SC"/>
      <family val="2"/>
      <charset val="1"/>
    </font>
    <font>
      <b val="true"/>
      <sz val="10"/>
      <color rgb="FFC0392B"/>
      <name val="Noto Sans CJK SC"/>
      <family val="2"/>
      <charset val="1"/>
    </font>
    <font>
      <b val="true"/>
      <sz val="8"/>
      <color rgb="FFFFFFFF"/>
      <name val="맑은 고딕"/>
      <family val="0"/>
      <charset val="1"/>
    </font>
    <font>
      <b val="true"/>
      <sz val="8"/>
      <color rgb="FFFFFFFF"/>
      <name val="Noto Sans CJK SC"/>
      <family val="2"/>
    </font>
    <font>
      <sz val="9"/>
      <color rgb="FF1A3A4A"/>
      <name val="Noto Sans CJK SC"/>
      <family val="2"/>
    </font>
    <font>
      <sz val="9"/>
      <color rgb="FF1A3A4A"/>
      <name val="맑은 고딕"/>
      <family val="0"/>
      <charset val="1"/>
    </font>
    <font>
      <sz val="9"/>
      <color rgb="FF333333"/>
      <name val="Noto Sans CJK SC"/>
      <family val="2"/>
    </font>
    <font>
      <sz val="9"/>
      <color rgb="FF333333"/>
      <name val="맑은 고딕"/>
      <family val="0"/>
      <charset val="1"/>
    </font>
    <font>
      <sz val="9"/>
      <color rgb="FF1B3A5C"/>
      <name val="Noto Sans CJK SC"/>
      <family val="2"/>
      <charset val="1"/>
    </font>
    <font>
      <b val="true"/>
      <sz val="9"/>
      <color rgb="FF000000"/>
      <name val="Noto Sans CJK SC"/>
      <family val="2"/>
      <charset val="1"/>
    </font>
    <font>
      <sz val="9"/>
      <color rgb="FF000000"/>
      <name val="Noto Sans CJK SC"/>
      <family val="2"/>
      <charset val="1"/>
    </font>
    <font>
      <sz val="9"/>
      <color rgb="FF000000"/>
      <name val="Arial"/>
      <family val="2"/>
      <charset val="1"/>
    </font>
    <font>
      <b val="true"/>
      <sz val="9"/>
      <color rgb="FFFFFFFF"/>
      <name val="Noto Sans CJK SC"/>
      <family val="2"/>
      <charset val="1"/>
    </font>
    <font>
      <b val="true"/>
      <sz val="8"/>
      <color rgb="FFFFFFFF"/>
      <name val="Noto Sans CJK SC"/>
      <family val="2"/>
      <charset val="1"/>
    </font>
    <font>
      <b val="true"/>
      <sz val="9"/>
      <color rgb="FFFFFFFF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9"/>
      <color rgb="FFB8860B"/>
      <name val="Arial"/>
      <family val="2"/>
      <charset val="1"/>
    </font>
    <font>
      <b val="true"/>
      <sz val="9"/>
      <color rgb="FFB8860B"/>
      <name val="Noto Sans CJK SC"/>
      <family val="2"/>
    </font>
    <font>
      <b val="true"/>
      <sz val="9"/>
      <color rgb="FF1B3A5C"/>
      <name val="Noto Sans CJK SC"/>
      <family val="2"/>
      <charset val="1"/>
    </font>
    <font>
      <sz val="9"/>
      <color rgb="FF333333"/>
      <name val="Arial"/>
      <family val="2"/>
      <charset val="1"/>
    </font>
    <font>
      <sz val="9"/>
      <color rgb="FF333333"/>
      <name val="Noto Sans CJK SC"/>
      <family val="2"/>
      <charset val="1"/>
    </font>
    <font>
      <b val="true"/>
      <sz val="13"/>
      <name val="Noto Sans CJK SC"/>
      <family val="2"/>
      <charset val="1"/>
    </font>
    <font>
      <i val="true"/>
      <sz val="9"/>
      <name val="Noto Sans CJK SC"/>
      <family val="2"/>
      <charset val="1"/>
    </font>
    <font>
      <sz val="10"/>
      <name val="Arial"/>
      <family val="2"/>
      <charset val="1"/>
    </font>
    <font>
      <sz val="10"/>
      <name val="Noto Sans CJK SC"/>
      <family val="2"/>
    </font>
    <font>
      <sz val="10"/>
      <name val="Noto Sans CJK SC"/>
      <family val="2"/>
      <charset val="1"/>
    </font>
    <font>
      <b val="true"/>
      <sz val="10"/>
      <name val="Noto Sans CJK SC"/>
      <family val="2"/>
      <charset val="1"/>
    </font>
    <font>
      <b val="true"/>
      <sz val="14"/>
      <color rgb="FFFFFFFF"/>
      <name val="Noto Sans CJK SC"/>
      <family val="2"/>
      <charset val="1"/>
    </font>
    <font>
      <b val="true"/>
      <sz val="10"/>
      <color rgb="FF1A1A1A"/>
      <name val="Noto Sans CJK SC"/>
      <family val="2"/>
      <charset val="1"/>
    </font>
    <font>
      <b val="true"/>
      <sz val="10"/>
      <color rgb="FF1A1A1A"/>
      <name val="맑은 고딕"/>
      <family val="2"/>
      <charset val="129"/>
    </font>
    <font>
      <b val="true"/>
      <sz val="10"/>
      <color rgb="FF1A1A1A"/>
      <name val="Noto Sans CJK SC"/>
      <family val="2"/>
    </font>
    <font>
      <b val="true"/>
      <sz val="14"/>
      <color rgb="FFFFFFFF"/>
      <name val="맑은 고딕"/>
      <family val="2"/>
      <charset val="129"/>
    </font>
    <font>
      <b val="true"/>
      <sz val="14"/>
      <color rgb="FFFFFFFF"/>
      <name val="Noto Sans CJK SC"/>
      <family val="2"/>
    </font>
    <font>
      <b val="true"/>
      <sz val="10"/>
      <color rgb="FFFFFFFF"/>
      <name val="맑은 고딕"/>
      <family val="2"/>
      <charset val="129"/>
    </font>
    <font>
      <sz val="10"/>
      <color rgb="FF555555"/>
      <name val="맑은 고딕"/>
      <family val="2"/>
      <charset val="129"/>
    </font>
    <font>
      <b val="true"/>
      <sz val="10"/>
      <color rgb="FFC0392B"/>
      <name val="맑은 고딕"/>
      <family val="2"/>
      <charset val="129"/>
    </font>
    <font>
      <b val="true"/>
      <sz val="10"/>
      <color rgb="FFB7950B"/>
      <name val="맑은 고딕"/>
      <family val="2"/>
      <charset val="129"/>
    </font>
    <font>
      <b val="true"/>
      <sz val="10"/>
      <color rgb="FFBA4A00"/>
      <name val="맑은 고딕"/>
      <family val="2"/>
      <charset val="129"/>
    </font>
    <font>
      <b val="true"/>
      <sz val="10"/>
      <color rgb="FF922B21"/>
      <name val="맑은 고딕"/>
      <family val="2"/>
      <charset val="129"/>
    </font>
    <font>
      <b val="true"/>
      <sz val="10"/>
      <color rgb="FF6C3483"/>
      <name val="맑은 고딕"/>
      <family val="2"/>
      <charset val="129"/>
    </font>
  </fonts>
  <fills count="58">
    <fill>
      <patternFill patternType="none"/>
    </fill>
    <fill>
      <patternFill patternType="gray125"/>
    </fill>
    <fill>
      <patternFill patternType="solid">
        <fgColor rgb="FF17202A"/>
        <bgColor rgb="FF1B2732"/>
      </patternFill>
    </fill>
    <fill>
      <patternFill patternType="solid">
        <fgColor rgb="FFD6EAF8"/>
        <bgColor rgb="FFE3F2FD"/>
      </patternFill>
    </fill>
    <fill>
      <patternFill patternType="mediumGray">
        <fgColor rgb="FF1E8449"/>
        <bgColor rgb="FF1B9057"/>
      </patternFill>
    </fill>
    <fill>
      <patternFill patternType="solid">
        <fgColor rgb="FFE8F8F5"/>
        <bgColor rgb="FFEBF5FB"/>
      </patternFill>
    </fill>
    <fill>
      <patternFill patternType="solid">
        <fgColor rgb="FFF8F9FA"/>
        <bgColor rgb="FFF9F9F9"/>
      </patternFill>
    </fill>
    <fill>
      <patternFill patternType="darkGray">
        <fgColor rgb="FF947809"/>
        <bgColor rgb="FFB78F0B"/>
      </patternFill>
    </fill>
    <fill>
      <patternFill patternType="solid">
        <fgColor rgb="FFFEF9E7"/>
        <bgColor rgb="FFFFF8E1"/>
      </patternFill>
    </fill>
    <fill>
      <patternFill patternType="mediumGray">
        <fgColor rgb="FF7D3C98"/>
        <bgColor rgb="FF783891"/>
      </patternFill>
    </fill>
    <fill>
      <patternFill patternType="solid">
        <fgColor rgb="FFFDF2F8"/>
        <bgColor rgb="FFFFEEEE"/>
      </patternFill>
    </fill>
    <fill>
      <patternFill patternType="mediumGray">
        <fgColor rgb="FFC0392B"/>
        <bgColor rgb="FFBF3C0F"/>
      </patternFill>
    </fill>
    <fill>
      <patternFill patternType="solid">
        <fgColor rgb="FFFDEDEC"/>
        <bgColor rgb="FFFFEEEE"/>
      </patternFill>
    </fill>
    <fill>
      <patternFill patternType="mediumGray">
        <fgColor rgb="FF1B516B"/>
        <bgColor rgb="FF1A5276"/>
      </patternFill>
    </fill>
    <fill>
      <patternFill patternType="solid">
        <fgColor rgb="FF1A5276"/>
        <bgColor rgb="FF1B516B"/>
      </patternFill>
    </fill>
    <fill>
      <patternFill patternType="solid">
        <fgColor rgb="FF1E8449"/>
        <bgColor rgb="FF1B9057"/>
      </patternFill>
    </fill>
    <fill>
      <patternFill patternType="solid">
        <fgColor rgb="FF782D0C"/>
        <bgColor rgb="FF4C245B"/>
      </patternFill>
    </fill>
    <fill>
      <patternFill patternType="solid">
        <fgColor rgb="FF4C245B"/>
        <bgColor rgb="FF333333"/>
      </patternFill>
    </fill>
    <fill>
      <patternFill patternType="solid">
        <fgColor rgb="FF1B2732"/>
        <bgColor rgb="FF17202A"/>
      </patternFill>
    </fill>
    <fill>
      <patternFill patternType="solid">
        <fgColor rgb="FF1B516B"/>
        <bgColor rgb="FF1A5276"/>
      </patternFill>
    </fill>
    <fill>
      <patternFill patternType="darkGray">
        <fgColor rgb="FF4C245B"/>
        <bgColor rgb="FF393E68"/>
      </patternFill>
    </fill>
    <fill>
      <patternFill patternType="solid">
        <fgColor rgb="FF206492"/>
        <bgColor rgb="FF2A6C90"/>
      </patternFill>
    </fill>
    <fill>
      <patternFill patternType="solid">
        <fgColor rgb="FF1B3A5C"/>
        <bgColor rgb="FF1A3A4A"/>
      </patternFill>
    </fill>
    <fill>
      <patternFill patternType="solid">
        <fgColor rgb="FFEBF5FB"/>
        <bgColor rgb="FFEBF3FB"/>
      </patternFill>
    </fill>
    <fill>
      <patternFill patternType="solid">
        <fgColor rgb="FF2E84B7"/>
        <bgColor rgb="FF2A6C90"/>
      </patternFill>
    </fill>
    <fill>
      <patternFill patternType="solid">
        <fgColor rgb="FFFFFFFF"/>
        <bgColor rgb="FFFDFEFE"/>
      </patternFill>
    </fill>
    <fill>
      <patternFill patternType="solid">
        <fgColor rgb="FF2B3D56"/>
        <bgColor rgb="FF1A3A4A"/>
      </patternFill>
    </fill>
    <fill>
      <patternFill patternType="solid">
        <fgColor rgb="FFF2F3F4"/>
        <bgColor rgb="FFF5F5F5"/>
      </patternFill>
    </fill>
    <fill>
      <patternFill patternType="solid">
        <fgColor rgb="FFEBF3FB"/>
        <bgColor rgb="FFEAF2FB"/>
      </patternFill>
    </fill>
    <fill>
      <patternFill patternType="solid">
        <fgColor rgb="FFFDFEFE"/>
        <bgColor rgb="FFFFFFFF"/>
      </patternFill>
    </fill>
    <fill>
      <patternFill patternType="solid">
        <fgColor rgb="FFD5F5E3"/>
        <bgColor rgb="FFE8F5E9"/>
      </patternFill>
    </fill>
    <fill>
      <patternFill patternType="darkGray">
        <fgColor rgb="FF947809"/>
        <bgColor rgb="FF565660"/>
      </patternFill>
    </fill>
    <fill>
      <patternFill patternType="solid">
        <fgColor rgb="FF1B9057"/>
        <bgColor rgb="FF1E8449"/>
      </patternFill>
    </fill>
    <fill>
      <patternFill patternType="solid">
        <fgColor rgb="FFB78F0B"/>
        <bgColor rgb="FF947809"/>
      </patternFill>
    </fill>
    <fill>
      <patternFill patternType="solid">
        <fgColor rgb="FFE8F5E9"/>
        <bgColor rgb="FFE8F8F5"/>
      </patternFill>
    </fill>
    <fill>
      <patternFill patternType="solid">
        <fgColor rgb="FFFFF3CD"/>
        <bgColor rgb="FFFDEBD0"/>
      </patternFill>
    </fill>
    <fill>
      <patternFill patternType="solid">
        <fgColor rgb="FF1A3A4A"/>
        <bgColor rgb="FF1B3A5C"/>
      </patternFill>
    </fill>
    <fill>
      <patternFill patternType="solid">
        <fgColor rgb="FF2A6C90"/>
        <bgColor rgb="FF206492"/>
      </patternFill>
    </fill>
    <fill>
      <patternFill patternType="solid">
        <fgColor rgb="FF0F6B6B"/>
        <bgColor rgb="FF206492"/>
      </patternFill>
    </fill>
    <fill>
      <patternFill patternType="solid">
        <fgColor rgb="FFFFF8E1"/>
        <bgColor rgb="FFFEF9E7"/>
      </patternFill>
    </fill>
    <fill>
      <patternFill patternType="solid">
        <fgColor rgb="FFF0F6FF"/>
        <bgColor rgb="FFEBF5FB"/>
      </patternFill>
    </fill>
    <fill>
      <patternFill patternType="darkGray">
        <fgColor rgb="FF206492"/>
        <bgColor rgb="FF2A6C90"/>
      </patternFill>
    </fill>
    <fill>
      <patternFill patternType="solid">
        <fgColor rgb="FF393E68"/>
        <bgColor rgb="FF2B3D56"/>
      </patternFill>
    </fill>
    <fill>
      <patternFill patternType="darkGray">
        <fgColor rgb="FF565660"/>
        <bgColor rgb="FF2A6C90"/>
      </patternFill>
    </fill>
    <fill>
      <patternFill patternType="solid">
        <fgColor rgb="FFFAFAFA"/>
        <bgColor rgb="FFF9F9F9"/>
      </patternFill>
    </fill>
    <fill>
      <patternFill patternType="solid">
        <fgColor rgb="FFE8F4FD"/>
        <bgColor rgb="FFEBF5FB"/>
      </patternFill>
    </fill>
    <fill>
      <patternFill patternType="darkGray">
        <fgColor rgb="FF2B3D56"/>
        <bgColor rgb="FF1B3A5C"/>
      </patternFill>
    </fill>
    <fill>
      <patternFill patternType="solid">
        <fgColor rgb="FFFFCCCC"/>
        <bgColor rgb="FFFADBD8"/>
      </patternFill>
    </fill>
    <fill>
      <patternFill patternType="solid">
        <fgColor rgb="FFF5F5F5"/>
        <bgColor rgb="FFF2F3F4"/>
      </patternFill>
    </fill>
    <fill>
      <patternFill patternType="darkGray">
        <fgColor rgb="FFD5F5E3"/>
        <bgColor rgb="FFD6EAF8"/>
      </patternFill>
    </fill>
    <fill>
      <patternFill patternType="solid">
        <fgColor rgb="FFFFEEEE"/>
        <bgColor rgb="FFFDEDEC"/>
      </patternFill>
    </fill>
    <fill>
      <patternFill patternType="solid">
        <fgColor rgb="FFE3F2FD"/>
        <bgColor rgb="FFE8F4FD"/>
      </patternFill>
    </fill>
    <fill>
      <patternFill patternType="solid">
        <fgColor rgb="FFEAF2FB"/>
        <bgColor rgb="FFEBF3FB"/>
      </patternFill>
    </fill>
    <fill>
      <patternFill patternType="solid">
        <fgColor rgb="FFFDEBD0"/>
        <bgColor rgb="FFFFF3CD"/>
      </patternFill>
    </fill>
    <fill>
      <patternFill patternType="solid">
        <fgColor rgb="FFFADBD8"/>
        <bgColor rgb="FFFFCCCC"/>
      </patternFill>
    </fill>
    <fill>
      <patternFill patternType="solid">
        <fgColor rgb="FF2A6C90"/>
        <bgColor rgb="FF206492"/>
      </patternFill>
    </fill>
    <fill>
      <patternFill patternType="solid">
        <fgColor rgb="FFF9F9F9"/>
        <bgColor rgb="FFF8F9FA"/>
      </patternFill>
    </fill>
    <fill>
      <patternFill patternType="solid">
        <fgColor rgb="FFF4ECF7"/>
        <bgColor rgb="FFF2F3F4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565660"/>
      </left>
      <right/>
      <top style="medium">
        <color rgb="FF565660"/>
      </top>
      <bottom style="medium">
        <color rgb="FF565660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9D9D9D"/>
      </left>
      <right style="medium">
        <color rgb="FF9D9D9D"/>
      </right>
      <top style="medium">
        <color rgb="FF9D9D9D"/>
      </top>
      <bottom style="medium">
        <color rgb="FF9D9D9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1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1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2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2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2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2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5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27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2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0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2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29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3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5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8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3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8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4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5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7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8" fillId="1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3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3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3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3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3" fillId="3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3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0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3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2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4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3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5" fillId="2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6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5" fillId="4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7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4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2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4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2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1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2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6" fillId="4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3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3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8" fillId="4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9" fillId="4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0" fillId="4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4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5" fillId="4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6" fillId="4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4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8" fillId="4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9" fillId="4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9" fillId="4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1" fillId="4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2" fillId="4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9" fillId="5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9" fillId="5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3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8" fillId="17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3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3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43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3" fillId="2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4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4" fillId="5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5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4" fillId="5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5" fillId="5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8" fillId="5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3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0" fillId="2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1" fillId="1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2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3" fillId="5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4" fillId="5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7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5" fillId="5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392B"/>
      <rgbColor rgb="FFF2F3F4"/>
      <rgbColor rgb="FF1A5276"/>
      <rgbColor rgb="FFFDEBD0"/>
      <rgbColor rgb="FFFDF2F8"/>
      <rgbColor rgb="FFEBF5FB"/>
      <rgbColor rgb="FFF9F9F9"/>
      <rgbColor rgb="FF1B516B"/>
      <rgbColor rgb="FF1A1A1A"/>
      <rgbColor rgb="FF947809"/>
      <rgbColor rgb="FF2B3D56"/>
      <rgbColor rgb="FF0F6B6B"/>
      <rgbColor rgb="FFBBBBBB"/>
      <rgbColor rgb="FF2A6C90"/>
      <rgbColor rgb="FFEAF2FB"/>
      <rgbColor rgb="FF783891"/>
      <rgbColor rgb="FFFFF8E1"/>
      <rgbColor rgb="FFE3F2FD"/>
      <rgbColor rgb="FF4C245B"/>
      <rgbColor rgb="FFFFEEEE"/>
      <rgbColor rgb="FF206492"/>
      <rgbColor rgb="FFCCCCCC"/>
      <rgbColor rgb="FF1A3A4A"/>
      <rgbColor rgb="FFF5F5F5"/>
      <rgbColor rgb="FFFEF9E7"/>
      <rgbColor rgb="FFEBF3FB"/>
      <rgbColor rgb="FFF8F9FA"/>
      <rgbColor rgb="FFFAFAFA"/>
      <rgbColor rgb="FF1E8449"/>
      <rgbColor rgb="FFFDFEFE"/>
      <rgbColor rgb="FFF0F6FF"/>
      <rgbColor rgb="FFE8F8F5"/>
      <rgbColor rgb="FFD5F5E3"/>
      <rgbColor rgb="FFFFF3CD"/>
      <rgbColor rgb="FFD6EAF8"/>
      <rgbColor rgb="FFFADBD8"/>
      <rgbColor rgb="FFF4ECF7"/>
      <rgbColor rgb="FFFFCCCC"/>
      <rgbColor rgb="FF2E84B7"/>
      <rgbColor rgb="FFE8F4FD"/>
      <rgbColor rgb="FFE8F5E9"/>
      <rgbColor rgb="FFFDEDEC"/>
      <rgbColor rgb="FFB78F0B"/>
      <rgbColor rgb="FFBF3C0F"/>
      <rgbColor rgb="FF565660"/>
      <rgbColor rgb="FF9D9D9D"/>
      <rgbColor rgb="FF1B3A5C"/>
      <rgbColor rgb="FF1B9057"/>
      <rgbColor rgb="FF17202A"/>
      <rgbColor rgb="FF1B2732"/>
      <rgbColor rgb="FF782D0C"/>
      <rgbColor rgb="FF7D3C98"/>
      <rgbColor rgb="FF393E6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balance_plan_v6.xlsx" TargetMode="External"/><Relationship Id="rId2" Type="http://schemas.openxmlformats.org/officeDocument/2006/relationships/hyperlink" Target="balance_plan_v6.xlsx" TargetMode="External"/><Relationship Id="rId3" Type="http://schemas.openxmlformats.org/officeDocument/2006/relationships/hyperlink" Target="balance_plan_v6.xlsx" TargetMode="External"/><Relationship Id="rId4" Type="http://schemas.openxmlformats.org/officeDocument/2006/relationships/hyperlink" Target="balance_plan_v6.xlsx" TargetMode="External"/><Relationship Id="rId5" Type="http://schemas.openxmlformats.org/officeDocument/2006/relationships/hyperlink" Target="balance_plan_v6.xlsx" TargetMode="External"/><Relationship Id="rId6" Type="http://schemas.openxmlformats.org/officeDocument/2006/relationships/hyperlink" Target="balance_plan_v6.xlsx" TargetMode="External"/><Relationship Id="rId7" Type="http://schemas.openxmlformats.org/officeDocument/2006/relationships/hyperlink" Target="balance_plan_v6.xlsx" TargetMode="External"/><Relationship Id="rId8" Type="http://schemas.openxmlformats.org/officeDocument/2006/relationships/hyperlink" Target="balance_plan_v6.xlsx" TargetMode="External"/><Relationship Id="rId9" Type="http://schemas.openxmlformats.org/officeDocument/2006/relationships/hyperlink" Target="balance_plan_v6.xlsx" TargetMode="External"/><Relationship Id="rId10" Type="http://schemas.openxmlformats.org/officeDocument/2006/relationships/hyperlink" Target="balance_plan_v6.xlsx" TargetMode="External"/><Relationship Id="rId11" Type="http://schemas.openxmlformats.org/officeDocument/2006/relationships/hyperlink" Target="balance_plan_v6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balance_plan_v6.xlsx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balance_plan_v6.xlsx" TargetMode="External"/><Relationship Id="rId2" Type="http://schemas.openxmlformats.org/officeDocument/2006/relationships/hyperlink" Target="balance_plan_v6.xlsx" TargetMode="External"/><Relationship Id="rId3" Type="http://schemas.openxmlformats.org/officeDocument/2006/relationships/hyperlink" Target="balance_plan_v6.xlsx" TargetMode="External"/><Relationship Id="rId4" Type="http://schemas.openxmlformats.org/officeDocument/2006/relationships/hyperlink" Target="balance_plan_v6.xlsx" TargetMode="External"/><Relationship Id="rId5" Type="http://schemas.openxmlformats.org/officeDocument/2006/relationships/hyperlink" Target="balance_plan_v6.xlsx" TargetMode="External"/><Relationship Id="rId6" Type="http://schemas.openxmlformats.org/officeDocument/2006/relationships/hyperlink" Target="balance_plan_v6.xlsx" TargetMode="External"/><Relationship Id="rId7" Type="http://schemas.openxmlformats.org/officeDocument/2006/relationships/hyperlink" Target="balance_plan_v6.xlsx" TargetMode="External"/><Relationship Id="rId8" Type="http://schemas.openxmlformats.org/officeDocument/2006/relationships/hyperlink" Target="balance_plan_v6.xlsx" TargetMode="External"/><Relationship Id="rId9" Type="http://schemas.openxmlformats.org/officeDocument/2006/relationships/hyperlink" Target="balance_plan_v6.xlsx" TargetMode="External"/><Relationship Id="rId10" Type="http://schemas.openxmlformats.org/officeDocument/2006/relationships/hyperlink" Target="balance_plan_v6.xlsx" TargetMode="External"/><Relationship Id="rId11" Type="http://schemas.openxmlformats.org/officeDocument/2006/relationships/hyperlink" Target="balance_plan_v6.xlsx" TargetMode="External"/><Relationship Id="rId12" Type="http://schemas.openxmlformats.org/officeDocument/2006/relationships/hyperlink" Target="balance_plan_v6.xlsx" TargetMode="External"/><Relationship Id="rId13" Type="http://schemas.openxmlformats.org/officeDocument/2006/relationships/hyperlink" Target="balance_plan_v6.xlsx" TargetMode="External"/><Relationship Id="rId14" Type="http://schemas.openxmlformats.org/officeDocument/2006/relationships/hyperlink" Target="balance_plan_v6.xlsx" TargetMode="External"/><Relationship Id="rId15" Type="http://schemas.openxmlformats.org/officeDocument/2006/relationships/hyperlink" Target="balance_plan_v6.xlsx" TargetMode="External"/><Relationship Id="rId16" Type="http://schemas.openxmlformats.org/officeDocument/2006/relationships/hyperlink" Target="balance_plan_v6.xlsx" TargetMode="External"/><Relationship Id="rId17" Type="http://schemas.openxmlformats.org/officeDocument/2006/relationships/hyperlink" Target="balance_plan_v6.xlsx" TargetMode="External"/><Relationship Id="rId18" Type="http://schemas.openxmlformats.org/officeDocument/2006/relationships/hyperlink" Target="balance_plan_v6.xlsx" TargetMode="External"/><Relationship Id="rId19" Type="http://schemas.openxmlformats.org/officeDocument/2006/relationships/hyperlink" Target="balance_plan_v6.xlsx" TargetMode="External"/><Relationship Id="rId20" Type="http://schemas.openxmlformats.org/officeDocument/2006/relationships/hyperlink" Target="balance_plan_v6.xlsx" TargetMode="External"/><Relationship Id="rId21" Type="http://schemas.openxmlformats.org/officeDocument/2006/relationships/hyperlink" Target="balance_plan_v6.xlsx" TargetMode="External"/><Relationship Id="rId22" Type="http://schemas.openxmlformats.org/officeDocument/2006/relationships/hyperlink" Target="balance_plan_v6.xlsx" TargetMode="External"/><Relationship Id="rId23" Type="http://schemas.openxmlformats.org/officeDocument/2006/relationships/hyperlink" Target="balance_plan_v6.xlsx" TargetMode="External"/><Relationship Id="rId24" Type="http://schemas.openxmlformats.org/officeDocument/2006/relationships/hyperlink" Target="balance_plan_v6.xlsx" TargetMode="External"/><Relationship Id="rId25" Type="http://schemas.openxmlformats.org/officeDocument/2006/relationships/hyperlink" Target="balance_plan_v6.xlsx" TargetMode="External"/><Relationship Id="rId26" Type="http://schemas.openxmlformats.org/officeDocument/2006/relationships/hyperlink" Target="balance_plan_v6.xlsx" TargetMode="External"/><Relationship Id="rId27" Type="http://schemas.openxmlformats.org/officeDocument/2006/relationships/hyperlink" Target="balance_plan_v6.xlsx" TargetMode="External"/><Relationship Id="rId28" Type="http://schemas.openxmlformats.org/officeDocument/2006/relationships/hyperlink" Target="balance_plan_v6.xlsx" TargetMode="External"/><Relationship Id="rId29" Type="http://schemas.openxmlformats.org/officeDocument/2006/relationships/hyperlink" Target="balance_plan_v6.xlsx" TargetMode="External"/><Relationship Id="rId30" Type="http://schemas.openxmlformats.org/officeDocument/2006/relationships/hyperlink" Target="balance_plan_v6.xlsx" TargetMode="External"/><Relationship Id="rId31" Type="http://schemas.openxmlformats.org/officeDocument/2006/relationships/hyperlink" Target="balance_plan_v6.xlsx" TargetMode="External"/><Relationship Id="rId32" Type="http://schemas.openxmlformats.org/officeDocument/2006/relationships/hyperlink" Target="balance_plan_v6.xlsx" TargetMode="External"/><Relationship Id="rId33" Type="http://schemas.openxmlformats.org/officeDocument/2006/relationships/hyperlink" Target="balance_plan_v6.xlsx" TargetMode="External"/><Relationship Id="rId34" Type="http://schemas.openxmlformats.org/officeDocument/2006/relationships/hyperlink" Target="balance_plan_v6.xlsx" TargetMode="External"/><Relationship Id="rId35" Type="http://schemas.openxmlformats.org/officeDocument/2006/relationships/hyperlink" Target="balance_plan_v6.xlsx" TargetMode="External"/><Relationship Id="rId36" Type="http://schemas.openxmlformats.org/officeDocument/2006/relationships/hyperlink" Target="balance_plan_v6.xlsx" TargetMode="External"/><Relationship Id="rId37" Type="http://schemas.openxmlformats.org/officeDocument/2006/relationships/hyperlink" Target="balance_plan_v6.xlsx" TargetMode="External"/><Relationship Id="rId38" Type="http://schemas.openxmlformats.org/officeDocument/2006/relationships/hyperlink" Target="balance_plan_v6.xlsx" TargetMode="External"/><Relationship Id="rId39" Type="http://schemas.openxmlformats.org/officeDocument/2006/relationships/hyperlink" Target="balance_plan_v6.xlsx" TargetMode="External"/><Relationship Id="rId40" Type="http://schemas.openxmlformats.org/officeDocument/2006/relationships/hyperlink" Target="balance_plan_v6.xlsx" TargetMode="External"/><Relationship Id="rId41" Type="http://schemas.openxmlformats.org/officeDocument/2006/relationships/hyperlink" Target="balance_plan_v6.xlsx" TargetMode="External"/><Relationship Id="rId42" Type="http://schemas.openxmlformats.org/officeDocument/2006/relationships/hyperlink" Target="balance_plan_v6.xlsx" TargetMode="External"/><Relationship Id="rId43" Type="http://schemas.openxmlformats.org/officeDocument/2006/relationships/hyperlink" Target="balance_plan_v6.xlsx" TargetMode="External"/><Relationship Id="rId44" Type="http://schemas.openxmlformats.org/officeDocument/2006/relationships/hyperlink" Target="balance_plan_v6.xlsx" TargetMode="External"/><Relationship Id="rId45" Type="http://schemas.openxmlformats.org/officeDocument/2006/relationships/hyperlink" Target="balance_plan_v6.xlsx" TargetMode="External"/><Relationship Id="rId46" Type="http://schemas.openxmlformats.org/officeDocument/2006/relationships/hyperlink" Target="balance_plan_v6.xlsx" TargetMode="External"/><Relationship Id="rId47" Type="http://schemas.openxmlformats.org/officeDocument/2006/relationships/hyperlink" Target="balance_plan_v6.xlsx" TargetMode="External"/><Relationship Id="rId48" Type="http://schemas.openxmlformats.org/officeDocument/2006/relationships/hyperlink" Target="balance_plan_v6.xlsx" TargetMode="External"/><Relationship Id="rId49" Type="http://schemas.openxmlformats.org/officeDocument/2006/relationships/hyperlink" Target="balance_plan_v6.xlsx" TargetMode="External"/><Relationship Id="rId50" Type="http://schemas.openxmlformats.org/officeDocument/2006/relationships/hyperlink" Target="balance_plan_v6.xlsx" TargetMode="External"/><Relationship Id="rId51" Type="http://schemas.openxmlformats.org/officeDocument/2006/relationships/hyperlink" Target="balance_plan_v6.xlsx" TargetMode="External"/><Relationship Id="rId52" Type="http://schemas.openxmlformats.org/officeDocument/2006/relationships/hyperlink" Target="balance_plan_v6.xlsx" TargetMode="External"/><Relationship Id="rId53" Type="http://schemas.openxmlformats.org/officeDocument/2006/relationships/hyperlink" Target="balance_plan_v6.xlsx" TargetMode="External"/><Relationship Id="rId54" Type="http://schemas.openxmlformats.org/officeDocument/2006/relationships/hyperlink" Target="balance_plan_v6.xlsx" TargetMode="External"/><Relationship Id="rId55" Type="http://schemas.openxmlformats.org/officeDocument/2006/relationships/hyperlink" Target="balance_plan_v6.xlsx" TargetMode="External"/><Relationship Id="rId56" Type="http://schemas.openxmlformats.org/officeDocument/2006/relationships/hyperlink" Target="balance_plan_v6.xlsx" TargetMode="External"/><Relationship Id="rId57" Type="http://schemas.openxmlformats.org/officeDocument/2006/relationships/hyperlink" Target="balance_plan_v6.xlsx" TargetMode="External"/><Relationship Id="rId58" Type="http://schemas.openxmlformats.org/officeDocument/2006/relationships/hyperlink" Target="balance_plan_v6.xlsx" TargetMode="External"/><Relationship Id="rId59" Type="http://schemas.openxmlformats.org/officeDocument/2006/relationships/hyperlink" Target="balance_plan_v6.xlsx" TargetMode="External"/><Relationship Id="rId60" Type="http://schemas.openxmlformats.org/officeDocument/2006/relationships/hyperlink" Target="balance_plan_v6.xlsx" TargetMode="External"/><Relationship Id="rId61" Type="http://schemas.openxmlformats.org/officeDocument/2006/relationships/hyperlink" Target="balance_plan_v6.xlsx" TargetMode="External"/><Relationship Id="rId62" Type="http://schemas.openxmlformats.org/officeDocument/2006/relationships/hyperlink" Target="balance_plan_v6.xlsx" TargetMode="External"/><Relationship Id="rId63" Type="http://schemas.openxmlformats.org/officeDocument/2006/relationships/hyperlink" Target="balance_plan_v6.xlsx" TargetMode="External"/><Relationship Id="rId64" Type="http://schemas.openxmlformats.org/officeDocument/2006/relationships/hyperlink" Target="balance_plan_v6.xlsx" TargetMode="External"/><Relationship Id="rId65" Type="http://schemas.openxmlformats.org/officeDocument/2006/relationships/hyperlink" Target="balance_plan_v6.xlsx" TargetMode="External"/><Relationship Id="rId66" Type="http://schemas.openxmlformats.org/officeDocument/2006/relationships/hyperlink" Target="balance_plan_v6.xlsx" TargetMode="External"/><Relationship Id="rId67" Type="http://schemas.openxmlformats.org/officeDocument/2006/relationships/hyperlink" Target="balance_plan_v6.xlsx" TargetMode="External"/><Relationship Id="rId68" Type="http://schemas.openxmlformats.org/officeDocument/2006/relationships/hyperlink" Target="balance_plan_v6.xlsx" TargetMode="External"/><Relationship Id="rId69" Type="http://schemas.openxmlformats.org/officeDocument/2006/relationships/hyperlink" Target="balance_plan_v6.xlsx" TargetMode="External"/><Relationship Id="rId70" Type="http://schemas.openxmlformats.org/officeDocument/2006/relationships/hyperlink" Target="balance_plan_v6.xlsx" TargetMode="External"/><Relationship Id="rId71" Type="http://schemas.openxmlformats.org/officeDocument/2006/relationships/hyperlink" Target="balance_plan_v6.xlsx" TargetMode="External"/><Relationship Id="rId72" Type="http://schemas.openxmlformats.org/officeDocument/2006/relationships/hyperlink" Target="balance_plan_v6.xlsx" TargetMode="External"/><Relationship Id="rId73" Type="http://schemas.openxmlformats.org/officeDocument/2006/relationships/hyperlink" Target="balance_plan_v6.xlsx" TargetMode="External"/><Relationship Id="rId74" Type="http://schemas.openxmlformats.org/officeDocument/2006/relationships/hyperlink" Target="balance_plan_v6.xlsx" TargetMode="External"/><Relationship Id="rId75" Type="http://schemas.openxmlformats.org/officeDocument/2006/relationships/hyperlink" Target="balance_plan_v6.xlsx" TargetMode="Externa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balance_plan_v6.xlsx" TargetMode="Externa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hyperlink" Target="balance_plan_v6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G10" activeCellId="0" sqref="G10"/>
    </sheetView>
  </sheetViews>
  <sheetFormatPr defaultColWidth="8.71484375" defaultRowHeight="15" zeroHeight="false" outlineLevelRow="0" outlineLevelCol="0"/>
  <cols>
    <col collapsed="false" customWidth="true" hidden="false" outlineLevel="0" max="7" min="1" style="0" width="18.86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1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19.5" hidden="false" customHeight="true" outlineLevel="0" collapsed="false">
      <c r="A6" s="5" t="s">
        <v>4</v>
      </c>
      <c r="B6" s="5"/>
      <c r="C6" s="5"/>
      <c r="D6" s="6" t="s">
        <v>5</v>
      </c>
      <c r="E6" s="6"/>
      <c r="F6" s="6"/>
      <c r="G6" s="6"/>
    </row>
    <row r="7" customFormat="false" ht="18.75" hidden="false" customHeight="true" outlineLevel="0" collapsed="false">
      <c r="A7" s="7" t="s">
        <v>6</v>
      </c>
      <c r="B7" s="7"/>
      <c r="C7" s="7"/>
      <c r="D7" s="7"/>
      <c r="E7" s="7"/>
      <c r="F7" s="7"/>
      <c r="G7" s="8"/>
    </row>
    <row r="8" customFormat="false" ht="18.75" hidden="false" customHeight="true" outlineLevel="0" collapsed="false">
      <c r="A8" s="9" t="s">
        <v>7</v>
      </c>
      <c r="B8" s="9"/>
      <c r="C8" s="9"/>
      <c r="D8" s="9"/>
      <c r="E8" s="9"/>
      <c r="F8" s="9"/>
      <c r="G8" s="8"/>
    </row>
    <row r="9" customFormat="false" ht="18.75" hidden="false" customHeight="true" outlineLevel="0" collapsed="false">
      <c r="A9" s="9" t="s">
        <v>8</v>
      </c>
      <c r="B9" s="9"/>
      <c r="C9" s="9"/>
      <c r="D9" s="9"/>
      <c r="E9" s="9"/>
      <c r="F9" s="9"/>
      <c r="G9" s="8"/>
    </row>
    <row r="10" customFormat="false" ht="18.75" hidden="false" customHeight="true" outlineLevel="0" collapsed="false">
      <c r="A10" s="9" t="s">
        <v>9</v>
      </c>
      <c r="B10" s="9"/>
      <c r="C10" s="9"/>
      <c r="D10" s="9"/>
      <c r="E10" s="9"/>
      <c r="F10" s="9"/>
      <c r="G10" s="10" t="s">
        <v>10</v>
      </c>
    </row>
    <row r="12" customFormat="false" ht="31.5" hidden="false" customHeight="true" outlineLevel="0" collapsed="false">
      <c r="A12" s="11" t="s">
        <v>11</v>
      </c>
      <c r="B12" s="11"/>
      <c r="C12" s="11"/>
      <c r="D12" s="11"/>
      <c r="E12" s="11"/>
      <c r="F12" s="11"/>
      <c r="G12" s="11"/>
    </row>
    <row r="13" customFormat="false" ht="19.5" hidden="false" customHeight="true" outlineLevel="0" collapsed="false">
      <c r="A13" s="12" t="s">
        <v>12</v>
      </c>
      <c r="B13" s="12"/>
      <c r="C13" s="12"/>
      <c r="D13" s="12"/>
      <c r="E13" s="12"/>
      <c r="F13" s="12"/>
      <c r="G13" s="12"/>
    </row>
    <row r="14" customFormat="false" ht="19.5" hidden="false" customHeight="true" outlineLevel="0" collapsed="false">
      <c r="A14" s="13" t="s">
        <v>4</v>
      </c>
      <c r="B14" s="13"/>
      <c r="C14" s="13"/>
      <c r="D14" s="14" t="s">
        <v>13</v>
      </c>
      <c r="E14" s="14"/>
      <c r="F14" s="14"/>
      <c r="G14" s="14"/>
    </row>
    <row r="15" customFormat="false" ht="18.75" hidden="false" customHeight="true" outlineLevel="0" collapsed="false">
      <c r="A15" s="9" t="s">
        <v>14</v>
      </c>
      <c r="B15" s="9"/>
      <c r="C15" s="9"/>
      <c r="D15" s="9"/>
      <c r="E15" s="9"/>
      <c r="F15" s="9"/>
      <c r="G15" s="8"/>
    </row>
    <row r="16" customFormat="false" ht="18.75" hidden="false" customHeight="true" outlineLevel="0" collapsed="false">
      <c r="A16" s="7" t="s">
        <v>15</v>
      </c>
      <c r="B16" s="7"/>
      <c r="C16" s="7"/>
      <c r="D16" s="7"/>
      <c r="E16" s="7"/>
      <c r="F16" s="7"/>
      <c r="G16" s="8"/>
    </row>
    <row r="17" customFormat="false" ht="18.75" hidden="false" customHeight="true" outlineLevel="0" collapsed="false">
      <c r="A17" s="9" t="s">
        <v>16</v>
      </c>
      <c r="B17" s="9"/>
      <c r="C17" s="9"/>
      <c r="D17" s="9"/>
      <c r="E17" s="9"/>
      <c r="F17" s="9"/>
      <c r="G17" s="8"/>
    </row>
    <row r="18" customFormat="false" ht="18.75" hidden="false" customHeight="true" outlineLevel="0" collapsed="false">
      <c r="A18" s="9" t="s">
        <v>17</v>
      </c>
      <c r="B18" s="9"/>
      <c r="C18" s="9"/>
      <c r="D18" s="9"/>
      <c r="E18" s="9"/>
      <c r="F18" s="9"/>
      <c r="G18" s="15" t="s">
        <v>10</v>
      </c>
    </row>
    <row r="20" customFormat="false" ht="31.5" hidden="false" customHeight="true" outlineLevel="0" collapsed="false">
      <c r="A20" s="16" t="s">
        <v>18</v>
      </c>
      <c r="B20" s="16"/>
      <c r="C20" s="16"/>
      <c r="D20" s="16"/>
      <c r="E20" s="16"/>
      <c r="F20" s="16"/>
      <c r="G20" s="16"/>
    </row>
    <row r="21" customFormat="false" ht="19.5" hidden="false" customHeight="true" outlineLevel="0" collapsed="false">
      <c r="A21" s="17" t="s">
        <v>19</v>
      </c>
      <c r="B21" s="17"/>
      <c r="C21" s="17"/>
      <c r="D21" s="17"/>
      <c r="E21" s="17"/>
      <c r="F21" s="17"/>
      <c r="G21" s="17"/>
    </row>
    <row r="22" customFormat="false" ht="19.5" hidden="false" customHeight="true" outlineLevel="0" collapsed="false">
      <c r="A22" s="18" t="s">
        <v>4</v>
      </c>
      <c r="B22" s="18"/>
      <c r="C22" s="18"/>
      <c r="D22" s="19" t="s">
        <v>20</v>
      </c>
      <c r="E22" s="19"/>
      <c r="F22" s="19"/>
      <c r="G22" s="19"/>
    </row>
    <row r="23" customFormat="false" ht="18.75" hidden="false" customHeight="true" outlineLevel="0" collapsed="false">
      <c r="A23" s="7" t="s">
        <v>21</v>
      </c>
      <c r="B23" s="7"/>
      <c r="C23" s="7"/>
      <c r="D23" s="7"/>
      <c r="E23" s="7"/>
      <c r="F23" s="7"/>
      <c r="G23" s="8"/>
    </row>
    <row r="24" customFormat="false" ht="18.75" hidden="false" customHeight="true" outlineLevel="0" collapsed="false">
      <c r="A24" s="9" t="s">
        <v>22</v>
      </c>
      <c r="B24" s="9"/>
      <c r="C24" s="9"/>
      <c r="D24" s="9"/>
      <c r="E24" s="9"/>
      <c r="F24" s="9"/>
      <c r="G24" s="8"/>
    </row>
    <row r="25" customFormat="false" ht="18.75" hidden="false" customHeight="true" outlineLevel="0" collapsed="false">
      <c r="A25" s="9" t="s">
        <v>23</v>
      </c>
      <c r="B25" s="9"/>
      <c r="C25" s="9"/>
      <c r="D25" s="9"/>
      <c r="E25" s="9"/>
      <c r="F25" s="9"/>
      <c r="G25" s="8"/>
    </row>
    <row r="26" customFormat="false" ht="18.75" hidden="false" customHeight="true" outlineLevel="0" collapsed="false">
      <c r="A26" s="9" t="s">
        <v>24</v>
      </c>
      <c r="B26" s="9"/>
      <c r="C26" s="9"/>
      <c r="D26" s="9"/>
      <c r="E26" s="9"/>
      <c r="F26" s="9"/>
      <c r="G26" s="20" t="s">
        <v>10</v>
      </c>
    </row>
    <row r="28" customFormat="false" ht="31.5" hidden="false" customHeight="true" outlineLevel="0" collapsed="false">
      <c r="A28" s="21" t="s">
        <v>25</v>
      </c>
      <c r="B28" s="21"/>
      <c r="C28" s="21"/>
      <c r="D28" s="21"/>
      <c r="E28" s="21"/>
      <c r="F28" s="21"/>
      <c r="G28" s="21"/>
    </row>
    <row r="29" customFormat="false" ht="19.5" hidden="false" customHeight="true" outlineLevel="0" collapsed="false">
      <c r="A29" s="22" t="s">
        <v>26</v>
      </c>
      <c r="B29" s="22"/>
      <c r="C29" s="22"/>
      <c r="D29" s="22"/>
      <c r="E29" s="22"/>
      <c r="F29" s="22"/>
      <c r="G29" s="22"/>
    </row>
    <row r="30" customFormat="false" ht="19.5" hidden="false" customHeight="true" outlineLevel="0" collapsed="false">
      <c r="A30" s="23" t="s">
        <v>4</v>
      </c>
      <c r="B30" s="23"/>
      <c r="C30" s="23"/>
      <c r="D30" s="24" t="s">
        <v>27</v>
      </c>
      <c r="E30" s="24"/>
      <c r="F30" s="24"/>
      <c r="G30" s="24"/>
    </row>
    <row r="31" customFormat="false" ht="18.75" hidden="false" customHeight="true" outlineLevel="0" collapsed="false">
      <c r="A31" s="9" t="s">
        <v>28</v>
      </c>
      <c r="B31" s="9"/>
      <c r="C31" s="9"/>
      <c r="D31" s="9"/>
      <c r="E31" s="9"/>
      <c r="F31" s="9"/>
      <c r="G31" s="8"/>
    </row>
    <row r="32" customFormat="false" ht="18.75" hidden="false" customHeight="true" outlineLevel="0" collapsed="false">
      <c r="A32" s="9" t="s">
        <v>29</v>
      </c>
      <c r="B32" s="9"/>
      <c r="C32" s="9"/>
      <c r="D32" s="9"/>
      <c r="E32" s="9"/>
      <c r="F32" s="9"/>
      <c r="G32" s="8"/>
    </row>
    <row r="33" customFormat="false" ht="18.75" hidden="false" customHeight="true" outlineLevel="0" collapsed="false">
      <c r="A33" s="7" t="s">
        <v>30</v>
      </c>
      <c r="B33" s="7"/>
      <c r="C33" s="7"/>
      <c r="D33" s="7"/>
      <c r="E33" s="7"/>
      <c r="F33" s="7"/>
      <c r="G33" s="8"/>
    </row>
    <row r="34" customFormat="false" ht="18.75" hidden="false" customHeight="true" outlineLevel="0" collapsed="false">
      <c r="A34" s="9" t="s">
        <v>31</v>
      </c>
      <c r="B34" s="9"/>
      <c r="C34" s="9"/>
      <c r="D34" s="9"/>
      <c r="E34" s="9"/>
      <c r="F34" s="9"/>
      <c r="G34" s="25" t="s">
        <v>10</v>
      </c>
    </row>
    <row r="36" customFormat="false" ht="25.5" hidden="false" customHeight="true" outlineLevel="0" collapsed="false">
      <c r="A36" s="26" t="s">
        <v>32</v>
      </c>
      <c r="B36" s="26"/>
      <c r="C36" s="26"/>
      <c r="D36" s="26"/>
      <c r="E36" s="26"/>
      <c r="F36" s="26"/>
      <c r="G36" s="26"/>
    </row>
    <row r="37" customFormat="false" ht="24" hidden="false" customHeight="true" outlineLevel="0" collapsed="false">
      <c r="A37" s="27" t="s">
        <v>33</v>
      </c>
      <c r="B37" s="28" t="s">
        <v>34</v>
      </c>
      <c r="C37" s="29" t="s">
        <v>35</v>
      </c>
      <c r="D37" s="30" t="s">
        <v>36</v>
      </c>
      <c r="E37" s="31" t="s">
        <v>37</v>
      </c>
      <c r="F37" s="29" t="s">
        <v>38</v>
      </c>
      <c r="G37" s="32" t="s">
        <v>39</v>
      </c>
    </row>
  </sheetData>
  <mergeCells count="35">
    <mergeCell ref="A1:G1"/>
    <mergeCell ref="A2:G2"/>
    <mergeCell ref="A4:G4"/>
    <mergeCell ref="A5:G5"/>
    <mergeCell ref="A6:C6"/>
    <mergeCell ref="D6:G6"/>
    <mergeCell ref="A7:F7"/>
    <mergeCell ref="A8:F8"/>
    <mergeCell ref="A9:F9"/>
    <mergeCell ref="A10:F10"/>
    <mergeCell ref="A12:G12"/>
    <mergeCell ref="A13:G13"/>
    <mergeCell ref="A14:C14"/>
    <mergeCell ref="D14:G14"/>
    <mergeCell ref="A15:F15"/>
    <mergeCell ref="A16:F16"/>
    <mergeCell ref="A17:F17"/>
    <mergeCell ref="A18:F18"/>
    <mergeCell ref="A20:G20"/>
    <mergeCell ref="A21:G21"/>
    <mergeCell ref="A22:C22"/>
    <mergeCell ref="D22:G22"/>
    <mergeCell ref="A23:F23"/>
    <mergeCell ref="A24:F24"/>
    <mergeCell ref="A25:F25"/>
    <mergeCell ref="A26:F26"/>
    <mergeCell ref="A28:G28"/>
    <mergeCell ref="A29:G29"/>
    <mergeCell ref="A30:C30"/>
    <mergeCell ref="D30:G30"/>
    <mergeCell ref="A31:F31"/>
    <mergeCell ref="A32:F32"/>
    <mergeCell ref="A33:F33"/>
    <mergeCell ref="A34:F34"/>
    <mergeCell ref="A36:G36"/>
  </mergeCells>
  <hyperlinks>
    <hyperlink ref="G10" r:id="rId1" location="📌%20기획%20의도!A1" display="→ 상세 보기"/>
    <hyperlink ref="G18" r:id="rId2" location="🗡️%20전리품%20제작!A1" display="→ 상세 보기"/>
    <hyperlink ref="G26" r:id="rId3" location="🏰%20던전%20코어%20제작!A1" display="→ 상세 보기"/>
    <hyperlink ref="G34" r:id="rId4" location="🎲%20드랍률%20설계!A1" display="→ 상세 보기"/>
    <hyperlink ref="A37" r:id="rId5" location="📌%20기획%20의도!A1" display="📌 기획 의도"/>
    <hyperlink ref="B37" r:id="rId6" location="📐%20수량%20계산%20근거!A1" display="📐 수량 계산 근거"/>
    <hyperlink ref="C37" r:id="rId7" location="🗡️%20전리품%20제작!A1" display="🗡️ 전리품 제작"/>
    <hyperlink ref="D37" r:id="rId8" location="🏰%20던전%20코어%20제작!A1" display="🏰 던전 코어"/>
    <hyperlink ref="E37" r:id="rId9" location="🎲%20드랍률%20설계!A1" display="🎲 드랍률 설계"/>
    <hyperlink ref="F37" r:id="rId10" location="✅%20Craft%20수량%20반영안!A1" display="✅ Craft 반영안"/>
    <hyperlink ref="G37" r:id="rId11" location="📋%20장비%20아이템%20리스트!A1" display="📋 아이템 리스트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H15" activeCellId="0" sqref="H15"/>
    </sheetView>
  </sheetViews>
  <sheetFormatPr defaultColWidth="8.71484375" defaultRowHeight="15" zeroHeight="false" outlineLevelRow="0" outlineLevelCol="0"/>
  <cols>
    <col collapsed="false" customWidth="true" hidden="false" outlineLevel="0" max="7" min="1" style="0" width="18.86"/>
    <col collapsed="false" customWidth="true" hidden="false" outlineLevel="0" max="8" min="8" style="0" width="18"/>
  </cols>
  <sheetData>
    <row r="1" customFormat="false" ht="45.75" hidden="false" customHeight="true" outlineLevel="0" collapsed="false">
      <c r="A1" s="33" t="s">
        <v>40</v>
      </c>
      <c r="B1" s="33"/>
      <c r="C1" s="33"/>
      <c r="D1" s="33"/>
      <c r="E1" s="33"/>
      <c r="F1" s="33"/>
      <c r="G1" s="33"/>
      <c r="H1" s="34" t="s">
        <v>41</v>
      </c>
    </row>
    <row r="2" customFormat="false" ht="6" hidden="false" customHeight="true" outlineLevel="0" collapsed="false">
      <c r="A2" s="33"/>
      <c r="B2" s="33"/>
      <c r="C2" s="33"/>
      <c r="D2" s="33"/>
      <c r="E2" s="33"/>
      <c r="F2" s="33"/>
      <c r="G2" s="33"/>
    </row>
    <row r="4" customFormat="false" ht="25.5" hidden="false" customHeight="true" outlineLevel="0" collapsed="false">
      <c r="A4" s="35" t="s">
        <v>42</v>
      </c>
      <c r="B4" s="35"/>
      <c r="C4" s="35"/>
      <c r="D4" s="35"/>
      <c r="E4" s="35"/>
      <c r="F4" s="35"/>
      <c r="G4" s="35"/>
    </row>
    <row r="5" customFormat="false" ht="19.5" hidden="false" customHeight="true" outlineLevel="0" collapsed="false">
      <c r="A5" s="36" t="s">
        <v>43</v>
      </c>
      <c r="B5" s="36"/>
      <c r="C5" s="36"/>
      <c r="D5" s="36"/>
      <c r="E5" s="36"/>
      <c r="F5" s="36"/>
      <c r="G5" s="36"/>
    </row>
    <row r="6" customFormat="false" ht="19.5" hidden="false" customHeight="true" outlineLevel="0" collapsed="false">
      <c r="A6" s="36" t="s">
        <v>44</v>
      </c>
      <c r="B6" s="36"/>
      <c r="C6" s="36"/>
      <c r="D6" s="36"/>
      <c r="E6" s="36"/>
      <c r="F6" s="36"/>
      <c r="G6" s="36"/>
    </row>
    <row r="7" customFormat="false" ht="19.5" hidden="false" customHeight="true" outlineLevel="0" collapsed="false">
      <c r="A7" s="36" t="s">
        <v>45</v>
      </c>
      <c r="B7" s="36"/>
      <c r="C7" s="36"/>
      <c r="D7" s="36"/>
      <c r="E7" s="36"/>
      <c r="F7" s="36"/>
      <c r="G7" s="36"/>
    </row>
    <row r="9" customFormat="false" ht="25.5" hidden="false" customHeight="true" outlineLevel="0" collapsed="false">
      <c r="A9" s="37" t="s">
        <v>46</v>
      </c>
      <c r="B9" s="37"/>
      <c r="C9" s="37"/>
      <c r="D9" s="37"/>
      <c r="E9" s="37"/>
      <c r="F9" s="37"/>
      <c r="G9" s="37"/>
    </row>
    <row r="10" customFormat="false" ht="19.5" hidden="false" customHeight="true" outlineLevel="0" collapsed="false">
      <c r="A10" s="36" t="s">
        <v>47</v>
      </c>
      <c r="B10" s="36"/>
      <c r="C10" s="36"/>
      <c r="D10" s="36"/>
      <c r="E10" s="36"/>
      <c r="F10" s="36"/>
      <c r="G10" s="36"/>
    </row>
    <row r="11" customFormat="false" ht="19.5" hidden="false" customHeight="true" outlineLevel="0" collapsed="false">
      <c r="A11" s="36" t="s">
        <v>48</v>
      </c>
      <c r="B11" s="36"/>
      <c r="C11" s="36"/>
      <c r="D11" s="36"/>
      <c r="E11" s="36"/>
      <c r="F11" s="36"/>
      <c r="G11" s="36"/>
    </row>
    <row r="12" customFormat="false" ht="19.5" hidden="false" customHeight="true" outlineLevel="0" collapsed="false">
      <c r="A12" s="36" t="s">
        <v>49</v>
      </c>
      <c r="B12" s="36"/>
      <c r="C12" s="36"/>
      <c r="D12" s="36"/>
      <c r="E12" s="36"/>
      <c r="F12" s="36"/>
      <c r="G12" s="36"/>
    </row>
    <row r="13" customFormat="false" ht="19.5" hidden="false" customHeight="true" outlineLevel="0" collapsed="false">
      <c r="A13" s="36" t="s">
        <v>50</v>
      </c>
      <c r="B13" s="36"/>
      <c r="C13" s="36"/>
      <c r="D13" s="36"/>
      <c r="E13" s="36"/>
      <c r="F13" s="36"/>
      <c r="G13" s="36"/>
    </row>
    <row r="14" customFormat="false" ht="19.5" hidden="false" customHeight="true" outlineLevel="0" collapsed="false">
      <c r="A14" s="36" t="s">
        <v>51</v>
      </c>
      <c r="B14" s="36"/>
      <c r="C14" s="36"/>
      <c r="D14" s="36"/>
      <c r="E14" s="36"/>
      <c r="F14" s="36"/>
      <c r="G14" s="36"/>
    </row>
    <row r="16" customFormat="false" ht="25.5" hidden="false" customHeight="true" outlineLevel="0" collapsed="false">
      <c r="A16" s="38" t="s">
        <v>52</v>
      </c>
      <c r="B16" s="38"/>
      <c r="C16" s="38"/>
      <c r="D16" s="38"/>
      <c r="E16" s="38"/>
      <c r="F16" s="38"/>
      <c r="G16" s="38"/>
    </row>
    <row r="17" customFormat="false" ht="19.5" hidden="false" customHeight="true" outlineLevel="0" collapsed="false">
      <c r="A17" s="36" t="s">
        <v>53</v>
      </c>
      <c r="B17" s="36"/>
      <c r="C17" s="36"/>
      <c r="D17" s="36"/>
      <c r="E17" s="36"/>
      <c r="F17" s="36"/>
      <c r="G17" s="36"/>
    </row>
    <row r="18" customFormat="false" ht="19.5" hidden="false" customHeight="true" outlineLevel="0" collapsed="false">
      <c r="A18" s="39" t="s">
        <v>54</v>
      </c>
      <c r="B18" s="39"/>
      <c r="C18" s="39"/>
      <c r="D18" s="39"/>
      <c r="E18" s="39"/>
      <c r="F18" s="39"/>
      <c r="G18" s="39"/>
    </row>
    <row r="19" customFormat="false" ht="19.5" hidden="false" customHeight="true" outlineLevel="0" collapsed="false">
      <c r="A19" s="36" t="s">
        <v>55</v>
      </c>
      <c r="B19" s="36"/>
      <c r="C19" s="36"/>
      <c r="D19" s="36"/>
      <c r="E19" s="36"/>
      <c r="F19" s="36"/>
      <c r="G19" s="36"/>
    </row>
    <row r="20" customFormat="false" ht="19.5" hidden="false" customHeight="true" outlineLevel="0" collapsed="false">
      <c r="A20" s="36" t="s">
        <v>56</v>
      </c>
      <c r="B20" s="36"/>
      <c r="C20" s="36"/>
      <c r="D20" s="36"/>
      <c r="E20" s="36"/>
      <c r="F20" s="36"/>
      <c r="G20" s="36"/>
    </row>
    <row r="21" customFormat="false" ht="19.5" hidden="false" customHeight="true" outlineLevel="0" collapsed="false">
      <c r="A21" s="36" t="s">
        <v>57</v>
      </c>
      <c r="B21" s="36"/>
      <c r="C21" s="36"/>
      <c r="D21" s="36"/>
      <c r="E21" s="36"/>
      <c r="F21" s="36"/>
      <c r="G21" s="36"/>
    </row>
    <row r="23" customFormat="false" ht="25.5" hidden="false" customHeight="true" outlineLevel="0" collapsed="false">
      <c r="A23" s="40" t="s">
        <v>58</v>
      </c>
      <c r="B23" s="40"/>
      <c r="C23" s="40"/>
      <c r="D23" s="40"/>
      <c r="E23" s="40"/>
      <c r="F23" s="40"/>
      <c r="G23" s="40"/>
    </row>
    <row r="24" customFormat="false" ht="19.5" hidden="false" customHeight="true" outlineLevel="0" collapsed="false">
      <c r="A24" s="36" t="s">
        <v>59</v>
      </c>
      <c r="B24" s="36"/>
      <c r="C24" s="36"/>
      <c r="D24" s="36"/>
      <c r="E24" s="36"/>
      <c r="F24" s="36"/>
      <c r="G24" s="36"/>
    </row>
    <row r="25" customFormat="false" ht="19.5" hidden="false" customHeight="true" outlineLevel="0" collapsed="false">
      <c r="A25" s="36" t="s">
        <v>60</v>
      </c>
      <c r="B25" s="36"/>
      <c r="C25" s="36"/>
      <c r="D25" s="36"/>
      <c r="E25" s="36"/>
      <c r="F25" s="36"/>
      <c r="G25" s="36"/>
    </row>
    <row r="26" customFormat="false" ht="19.5" hidden="false" customHeight="true" outlineLevel="0" collapsed="false">
      <c r="A26" s="36" t="s">
        <v>61</v>
      </c>
      <c r="B26" s="36"/>
      <c r="C26" s="36"/>
      <c r="D26" s="36"/>
      <c r="E26" s="36"/>
      <c r="F26" s="36"/>
      <c r="G26" s="36"/>
    </row>
    <row r="28" customFormat="false" ht="25.5" hidden="false" customHeight="true" outlineLevel="0" collapsed="false">
      <c r="A28" s="41" t="s">
        <v>62</v>
      </c>
      <c r="B28" s="41"/>
      <c r="C28" s="41"/>
      <c r="D28" s="41"/>
      <c r="E28" s="41"/>
      <c r="F28" s="41"/>
      <c r="G28" s="41"/>
    </row>
    <row r="29" customFormat="false" ht="19.5" hidden="false" customHeight="true" outlineLevel="0" collapsed="false">
      <c r="A29" s="36" t="s">
        <v>63</v>
      </c>
      <c r="B29" s="36"/>
      <c r="C29" s="36"/>
      <c r="D29" s="36"/>
      <c r="E29" s="36"/>
      <c r="F29" s="36"/>
      <c r="G29" s="36"/>
    </row>
    <row r="30" customFormat="false" ht="19.5" hidden="false" customHeight="true" outlineLevel="0" collapsed="false">
      <c r="A30" s="36" t="s">
        <v>64</v>
      </c>
      <c r="B30" s="36"/>
      <c r="C30" s="36"/>
      <c r="D30" s="36"/>
      <c r="E30" s="36"/>
      <c r="F30" s="36"/>
      <c r="G30" s="36"/>
    </row>
    <row r="31" customFormat="false" ht="19.5" hidden="false" customHeight="true" outlineLevel="0" collapsed="false">
      <c r="A31" s="36" t="s">
        <v>65</v>
      </c>
      <c r="B31" s="36"/>
      <c r="C31" s="36"/>
      <c r="D31" s="36"/>
      <c r="E31" s="36"/>
      <c r="F31" s="36"/>
      <c r="G31" s="36"/>
    </row>
    <row r="32" customFormat="false" ht="19.5" hidden="false" customHeight="true" outlineLevel="0" collapsed="false">
      <c r="A32" s="36" t="s">
        <v>66</v>
      </c>
      <c r="B32" s="36"/>
      <c r="C32" s="36"/>
      <c r="D32" s="36"/>
      <c r="E32" s="36"/>
      <c r="F32" s="36"/>
      <c r="G32" s="36"/>
    </row>
    <row r="33" customFormat="false" ht="19.5" hidden="false" customHeight="true" outlineLevel="0" collapsed="false">
      <c r="A33" s="36" t="s">
        <v>67</v>
      </c>
      <c r="B33" s="36"/>
      <c r="C33" s="36"/>
      <c r="D33" s="36"/>
      <c r="E33" s="36"/>
      <c r="F33" s="36"/>
      <c r="G33" s="36"/>
    </row>
    <row r="34" customFormat="false" ht="19.5" hidden="false" customHeight="true" outlineLevel="0" collapsed="false">
      <c r="A34" s="36" t="s">
        <v>68</v>
      </c>
      <c r="B34" s="36"/>
      <c r="C34" s="36"/>
      <c r="D34" s="36"/>
      <c r="E34" s="36"/>
      <c r="F34" s="36"/>
      <c r="G34" s="36"/>
    </row>
  </sheetData>
  <mergeCells count="28">
    <mergeCell ref="A1:G2"/>
    <mergeCell ref="A4:G4"/>
    <mergeCell ref="A5:G5"/>
    <mergeCell ref="A6:G6"/>
    <mergeCell ref="A7:G7"/>
    <mergeCell ref="A9:G9"/>
    <mergeCell ref="A10:G10"/>
    <mergeCell ref="A11:G11"/>
    <mergeCell ref="A12:G12"/>
    <mergeCell ref="A13:G13"/>
    <mergeCell ref="A14:G14"/>
    <mergeCell ref="A16:G16"/>
    <mergeCell ref="A17:G17"/>
    <mergeCell ref="A18:G18"/>
    <mergeCell ref="A19:G19"/>
    <mergeCell ref="A20:G20"/>
    <mergeCell ref="A21:G21"/>
    <mergeCell ref="A23:G23"/>
    <mergeCell ref="A24:G24"/>
    <mergeCell ref="A25:G25"/>
    <mergeCell ref="A26:G26"/>
    <mergeCell ref="A28:G28"/>
    <mergeCell ref="A29:G29"/>
    <mergeCell ref="A30:G30"/>
    <mergeCell ref="A31:G31"/>
    <mergeCell ref="A32:G32"/>
    <mergeCell ref="A33:G33"/>
    <mergeCell ref="A34:G34"/>
  </mergeCells>
  <hyperlinks>
    <hyperlink ref="H1" r:id="rId1" location="🗺️%20제작%20방식%20개요!A1" display="🏠 개요로 돌아가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26"/>
    <col collapsed="false" customWidth="true" hidden="false" outlineLevel="0" max="10" min="10" style="0" width="18"/>
  </cols>
  <sheetData>
    <row r="1" customFormat="false" ht="27.75" hidden="false" customHeight="true" outlineLevel="0" collapsed="false">
      <c r="A1" s="42" t="s">
        <v>69</v>
      </c>
      <c r="B1" s="42"/>
      <c r="C1" s="42"/>
      <c r="D1" s="42"/>
      <c r="E1" s="42"/>
      <c r="F1" s="42"/>
      <c r="G1" s="42"/>
      <c r="H1" s="42"/>
      <c r="I1" s="43" t="s">
        <v>41</v>
      </c>
      <c r="J1" s="44"/>
    </row>
    <row r="2" customFormat="false" ht="15.75" hidden="false" customHeight="true" outlineLevel="0" collapsed="false">
      <c r="A2" s="45" t="s">
        <v>70</v>
      </c>
      <c r="B2" s="45"/>
      <c r="C2" s="45"/>
      <c r="D2" s="45"/>
      <c r="E2" s="45"/>
      <c r="F2" s="45"/>
      <c r="G2" s="45"/>
      <c r="H2" s="45"/>
      <c r="I2" s="45"/>
      <c r="J2" s="44"/>
    </row>
    <row r="3" customFormat="false" ht="33.75" hidden="false" customHeight="true" outlineLevel="0" collapsed="false">
      <c r="A3" s="46" t="s">
        <v>71</v>
      </c>
      <c r="B3" s="46" t="s">
        <v>72</v>
      </c>
      <c r="C3" s="46" t="s">
        <v>73</v>
      </c>
      <c r="D3" s="46" t="s">
        <v>74</v>
      </c>
      <c r="E3" s="46"/>
      <c r="F3" s="46" t="s">
        <v>75</v>
      </c>
      <c r="G3" s="46"/>
      <c r="H3" s="46" t="s">
        <v>76</v>
      </c>
      <c r="I3" s="46" t="s">
        <v>77</v>
      </c>
      <c r="J3" s="44"/>
    </row>
    <row r="4" customFormat="false" ht="19.5" hidden="false" customHeight="true" outlineLevel="0" collapsed="false">
      <c r="A4" s="46"/>
      <c r="B4" s="46"/>
      <c r="C4" s="46"/>
      <c r="D4" s="47" t="s">
        <v>78</v>
      </c>
      <c r="E4" s="47" t="s">
        <v>79</v>
      </c>
      <c r="F4" s="47" t="s">
        <v>78</v>
      </c>
      <c r="G4" s="47" t="s">
        <v>79</v>
      </c>
      <c r="H4" s="48"/>
      <c r="I4" s="46"/>
      <c r="J4" s="44"/>
    </row>
    <row r="5" customFormat="false" ht="21.75" hidden="false" customHeight="true" outlineLevel="0" collapsed="false">
      <c r="A5" s="49" t="s">
        <v>80</v>
      </c>
      <c r="B5" s="50" t="s">
        <v>81</v>
      </c>
      <c r="C5" s="50" t="s">
        <v>82</v>
      </c>
      <c r="D5" s="50" t="s">
        <v>83</v>
      </c>
      <c r="E5" s="50" t="s">
        <v>83</v>
      </c>
      <c r="F5" s="50" t="n">
        <v>5</v>
      </c>
      <c r="G5" s="50" t="n">
        <v>10</v>
      </c>
      <c r="H5" s="50" t="n">
        <v>50</v>
      </c>
      <c r="I5" s="51" t="s">
        <v>84</v>
      </c>
      <c r="J5" s="44"/>
    </row>
    <row r="6" customFormat="false" ht="21.75" hidden="false" customHeight="true" outlineLevel="0" collapsed="false">
      <c r="A6" s="49" t="s">
        <v>85</v>
      </c>
      <c r="B6" s="52" t="s">
        <v>86</v>
      </c>
      <c r="C6" s="52" t="s">
        <v>87</v>
      </c>
      <c r="D6" s="52" t="n">
        <v>60</v>
      </c>
      <c r="E6" s="52" t="n">
        <v>120</v>
      </c>
      <c r="F6" s="52" t="n">
        <v>14</v>
      </c>
      <c r="G6" s="52" t="n">
        <v>28</v>
      </c>
      <c r="H6" s="52" t="n">
        <v>140</v>
      </c>
      <c r="I6" s="53" t="s">
        <v>88</v>
      </c>
      <c r="J6" s="44"/>
    </row>
    <row r="7" customFormat="false" ht="21.75" hidden="false" customHeight="true" outlineLevel="0" collapsed="false">
      <c r="A7" s="49" t="s">
        <v>89</v>
      </c>
      <c r="B7" s="50" t="s">
        <v>90</v>
      </c>
      <c r="C7" s="50" t="s">
        <v>91</v>
      </c>
      <c r="D7" s="50" t="n">
        <v>180</v>
      </c>
      <c r="E7" s="50" t="n">
        <v>360</v>
      </c>
      <c r="F7" s="50" t="n">
        <v>24</v>
      </c>
      <c r="G7" s="50" t="n">
        <v>48</v>
      </c>
      <c r="H7" s="50" t="n">
        <v>240</v>
      </c>
      <c r="I7" s="51" t="s">
        <v>92</v>
      </c>
      <c r="J7" s="44"/>
    </row>
    <row r="8" customFormat="false" ht="21.75" hidden="false" customHeight="true" outlineLevel="0" collapsed="false">
      <c r="A8" s="49" t="s">
        <v>93</v>
      </c>
      <c r="B8" s="52" t="s">
        <v>94</v>
      </c>
      <c r="C8" s="52" t="s">
        <v>95</v>
      </c>
      <c r="D8" s="52" t="n">
        <v>900</v>
      </c>
      <c r="E8" s="52" t="n">
        <v>1800</v>
      </c>
      <c r="F8" s="52" t="n">
        <v>58</v>
      </c>
      <c r="G8" s="52" t="n">
        <v>116</v>
      </c>
      <c r="H8" s="52" t="n">
        <v>580</v>
      </c>
      <c r="I8" s="53" t="s">
        <v>96</v>
      </c>
      <c r="J8" s="44"/>
    </row>
    <row r="9" customFormat="false" ht="21.75" hidden="false" customHeight="true" outlineLevel="0" collapsed="false">
      <c r="A9" s="49" t="s">
        <v>97</v>
      </c>
      <c r="B9" s="50" t="s">
        <v>98</v>
      </c>
      <c r="C9" s="50" t="s">
        <v>99</v>
      </c>
      <c r="D9" s="50" t="n">
        <v>4500</v>
      </c>
      <c r="E9" s="50" t="n">
        <v>9000</v>
      </c>
      <c r="F9" s="50" t="n">
        <v>117</v>
      </c>
      <c r="G9" s="50" t="n">
        <v>234</v>
      </c>
      <c r="H9" s="50" t="n">
        <v>1170</v>
      </c>
      <c r="I9" s="51" t="s">
        <v>100</v>
      </c>
      <c r="J9" s="44"/>
    </row>
    <row r="10" customFormat="false" ht="21.75" hidden="false" customHeight="true" outlineLevel="0" collapsed="false">
      <c r="A10" s="49" t="s">
        <v>101</v>
      </c>
      <c r="B10" s="52" t="s">
        <v>102</v>
      </c>
      <c r="C10" s="52" t="s">
        <v>103</v>
      </c>
      <c r="D10" s="52" t="n">
        <v>22500</v>
      </c>
      <c r="E10" s="52" t="n">
        <v>45000</v>
      </c>
      <c r="F10" s="52" t="n">
        <v>196</v>
      </c>
      <c r="G10" s="52" t="n">
        <v>391</v>
      </c>
      <c r="H10" s="52" t="n">
        <v>1960</v>
      </c>
      <c r="I10" s="53" t="s">
        <v>104</v>
      </c>
      <c r="J10" s="44"/>
    </row>
    <row r="11" customFormat="false" ht="21.75" hidden="false" customHeight="true" outlineLevel="0" collapsed="false">
      <c r="A11" s="49" t="s">
        <v>105</v>
      </c>
      <c r="B11" s="50" t="s">
        <v>106</v>
      </c>
      <c r="C11" s="50" t="s">
        <v>107</v>
      </c>
      <c r="D11" s="50" t="n">
        <v>112500</v>
      </c>
      <c r="E11" s="50" t="n">
        <v>225000</v>
      </c>
      <c r="F11" s="50" t="n">
        <v>273</v>
      </c>
      <c r="G11" s="50" t="n">
        <v>546</v>
      </c>
      <c r="H11" s="50" t="n">
        <v>2730</v>
      </c>
      <c r="I11" s="51" t="s">
        <v>108</v>
      </c>
      <c r="J11" s="44"/>
    </row>
    <row r="12" customFormat="false" ht="7.5" hidden="false" customHeight="true" outlineLevel="0" collapsed="false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customFormat="false" ht="19.5" hidden="false" customHeight="true" outlineLevel="0" collapsed="false">
      <c r="A13" s="54" t="s">
        <v>109</v>
      </c>
      <c r="B13" s="54"/>
      <c r="C13" s="54"/>
      <c r="D13" s="54"/>
      <c r="E13" s="54"/>
      <c r="F13" s="54"/>
      <c r="G13" s="54"/>
      <c r="H13" s="54"/>
      <c r="I13" s="54"/>
      <c r="J13" s="44"/>
    </row>
    <row r="14" customFormat="false" ht="18" hidden="false" customHeight="true" outlineLevel="0" collapsed="false">
      <c r="A14" s="55" t="s">
        <v>110</v>
      </c>
      <c r="B14" s="56" t="s">
        <v>111</v>
      </c>
      <c r="C14" s="56"/>
      <c r="D14" s="56"/>
      <c r="E14" s="56"/>
      <c r="F14" s="56"/>
      <c r="G14" s="56"/>
      <c r="H14" s="56"/>
      <c r="I14" s="56"/>
      <c r="J14" s="44"/>
    </row>
    <row r="15" customFormat="false" ht="18" hidden="false" customHeight="true" outlineLevel="0" collapsed="false">
      <c r="A15" s="57" t="s">
        <v>112</v>
      </c>
      <c r="B15" s="58" t="s">
        <v>113</v>
      </c>
      <c r="C15" s="58"/>
      <c r="D15" s="58"/>
      <c r="E15" s="58"/>
      <c r="F15" s="58"/>
      <c r="G15" s="58"/>
      <c r="H15" s="58"/>
      <c r="I15" s="58"/>
      <c r="J15" s="44"/>
    </row>
    <row r="16" customFormat="false" ht="18" hidden="false" customHeight="true" outlineLevel="0" collapsed="false">
      <c r="A16" s="55" t="s">
        <v>114</v>
      </c>
      <c r="B16" s="56" t="s">
        <v>115</v>
      </c>
      <c r="C16" s="56"/>
      <c r="D16" s="56"/>
      <c r="E16" s="56"/>
      <c r="F16" s="56"/>
      <c r="G16" s="56"/>
      <c r="H16" s="56"/>
      <c r="I16" s="56"/>
      <c r="J16" s="44"/>
    </row>
    <row r="17" customFormat="false" ht="18" hidden="false" customHeight="true" outlineLevel="0" collapsed="false">
      <c r="A17" s="57" t="s">
        <v>116</v>
      </c>
      <c r="B17" s="58" t="s">
        <v>117</v>
      </c>
      <c r="C17" s="58"/>
      <c r="D17" s="58"/>
      <c r="E17" s="58"/>
      <c r="F17" s="58"/>
      <c r="G17" s="58"/>
      <c r="H17" s="58"/>
      <c r="I17" s="58"/>
      <c r="J17" s="44"/>
    </row>
    <row r="18" customFormat="false" ht="18" hidden="false" customHeight="true" outlineLevel="0" collapsed="false">
      <c r="A18" s="55" t="s">
        <v>118</v>
      </c>
      <c r="B18" s="56" t="s">
        <v>119</v>
      </c>
      <c r="C18" s="56"/>
      <c r="D18" s="56"/>
      <c r="E18" s="56"/>
      <c r="F18" s="56"/>
      <c r="G18" s="56"/>
      <c r="H18" s="56"/>
      <c r="I18" s="56"/>
      <c r="J18" s="44"/>
    </row>
    <row r="19" customFormat="false" ht="18" hidden="false" customHeight="true" outlineLevel="0" collapsed="false">
      <c r="A19" s="57" t="s">
        <v>120</v>
      </c>
      <c r="B19" s="58" t="s">
        <v>121</v>
      </c>
      <c r="C19" s="58"/>
      <c r="D19" s="58"/>
      <c r="E19" s="58"/>
      <c r="F19" s="58"/>
      <c r="G19" s="58"/>
      <c r="H19" s="58"/>
      <c r="I19" s="58"/>
    </row>
  </sheetData>
  <mergeCells count="15">
    <mergeCell ref="A1:H1"/>
    <mergeCell ref="A2:I2"/>
    <mergeCell ref="A3:A4"/>
    <mergeCell ref="B3:B4"/>
    <mergeCell ref="C3:C4"/>
    <mergeCell ref="D3:E3"/>
    <mergeCell ref="F3:G3"/>
    <mergeCell ref="I3:I4"/>
    <mergeCell ref="A13:I13"/>
    <mergeCell ref="B14:I14"/>
    <mergeCell ref="B15:I15"/>
    <mergeCell ref="B16:I16"/>
    <mergeCell ref="B17:I17"/>
    <mergeCell ref="B18:I18"/>
    <mergeCell ref="B19:I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4" min="3" style="0" width="8"/>
    <col collapsed="false" customWidth="true" hidden="false" outlineLevel="0" max="8" min="5" style="0" width="22"/>
  </cols>
  <sheetData>
    <row r="1" customFormat="false" ht="39.75" hidden="false" customHeight="true" outlineLevel="0" collapsed="false">
      <c r="A1" s="1" t="s">
        <v>122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123</v>
      </c>
      <c r="B2" s="2"/>
      <c r="C2" s="2"/>
      <c r="D2" s="2"/>
      <c r="E2" s="2"/>
      <c r="F2" s="2"/>
      <c r="G2" s="2"/>
      <c r="H2" s="2"/>
    </row>
    <row r="3" customFormat="false" ht="36" hidden="false" customHeight="true" outlineLevel="0" collapsed="false">
      <c r="A3" s="59" t="s">
        <v>71</v>
      </c>
      <c r="B3" s="59" t="s">
        <v>124</v>
      </c>
      <c r="C3" s="59" t="s">
        <v>125</v>
      </c>
      <c r="D3" s="59" t="s">
        <v>126</v>
      </c>
      <c r="E3" s="59" t="s">
        <v>127</v>
      </c>
      <c r="F3" s="59" t="s">
        <v>128</v>
      </c>
      <c r="G3" s="59" t="s">
        <v>129</v>
      </c>
      <c r="H3" s="59" t="s">
        <v>130</v>
      </c>
    </row>
    <row r="4" customFormat="false" ht="21.75" hidden="false" customHeight="true" outlineLevel="0" collapsed="false">
      <c r="A4" s="60" t="s">
        <v>131</v>
      </c>
      <c r="B4" s="61" t="s">
        <v>132</v>
      </c>
      <c r="C4" s="62" t="s">
        <v>133</v>
      </c>
      <c r="D4" s="62" t="s">
        <v>134</v>
      </c>
      <c r="E4" s="63" t="s">
        <v>135</v>
      </c>
      <c r="F4" s="64" t="s">
        <v>83</v>
      </c>
      <c r="G4" s="65" t="s">
        <v>83</v>
      </c>
      <c r="H4" s="66" t="s">
        <v>136</v>
      </c>
    </row>
    <row r="5" customFormat="false" ht="21.75" hidden="false" customHeight="true" outlineLevel="0" collapsed="false">
      <c r="A5" s="60" t="s">
        <v>131</v>
      </c>
      <c r="B5" s="61" t="s">
        <v>132</v>
      </c>
      <c r="C5" s="62" t="s">
        <v>133</v>
      </c>
      <c r="D5" s="62" t="s">
        <v>137</v>
      </c>
      <c r="E5" s="63" t="s">
        <v>138</v>
      </c>
      <c r="F5" s="64" t="s">
        <v>83</v>
      </c>
      <c r="G5" s="65" t="s">
        <v>83</v>
      </c>
      <c r="H5" s="66" t="s">
        <v>136</v>
      </c>
    </row>
    <row r="6" customFormat="false" ht="21.75" hidden="false" customHeight="true" outlineLevel="0" collapsed="false">
      <c r="A6" s="60" t="s">
        <v>131</v>
      </c>
      <c r="B6" s="61" t="s">
        <v>132</v>
      </c>
      <c r="C6" s="62" t="s">
        <v>133</v>
      </c>
      <c r="D6" s="62" t="s">
        <v>139</v>
      </c>
      <c r="E6" s="63" t="s">
        <v>140</v>
      </c>
      <c r="F6" s="64" t="s">
        <v>83</v>
      </c>
      <c r="G6" s="65" t="s">
        <v>83</v>
      </c>
      <c r="H6" s="66" t="s">
        <v>136</v>
      </c>
    </row>
    <row r="7" customFormat="false" ht="21.75" hidden="false" customHeight="true" outlineLevel="0" collapsed="false">
      <c r="A7" s="60" t="s">
        <v>131</v>
      </c>
      <c r="B7" s="61" t="s">
        <v>132</v>
      </c>
      <c r="C7" s="62" t="s">
        <v>133</v>
      </c>
      <c r="D7" s="62" t="s">
        <v>141</v>
      </c>
      <c r="E7" s="63" t="s">
        <v>142</v>
      </c>
      <c r="F7" s="64" t="s">
        <v>83</v>
      </c>
      <c r="G7" s="65" t="s">
        <v>83</v>
      </c>
      <c r="H7" s="66" t="s">
        <v>136</v>
      </c>
    </row>
    <row r="8" customFormat="false" ht="21.75" hidden="false" customHeight="true" outlineLevel="0" collapsed="false">
      <c r="A8" s="60" t="s">
        <v>131</v>
      </c>
      <c r="B8" s="61" t="s">
        <v>132</v>
      </c>
      <c r="C8" s="62" t="s">
        <v>143</v>
      </c>
      <c r="D8" s="62" t="s">
        <v>134</v>
      </c>
      <c r="E8" s="63" t="s">
        <v>140</v>
      </c>
      <c r="F8" s="64" t="s">
        <v>83</v>
      </c>
      <c r="G8" s="65" t="s">
        <v>83</v>
      </c>
      <c r="H8" s="66" t="s">
        <v>136</v>
      </c>
    </row>
    <row r="9" customFormat="false" ht="21.75" hidden="false" customHeight="true" outlineLevel="0" collapsed="false">
      <c r="A9" s="60" t="s">
        <v>131</v>
      </c>
      <c r="B9" s="61" t="s">
        <v>132</v>
      </c>
      <c r="C9" s="62" t="s">
        <v>143</v>
      </c>
      <c r="D9" s="62" t="s">
        <v>137</v>
      </c>
      <c r="E9" s="63" t="s">
        <v>144</v>
      </c>
      <c r="F9" s="64" t="s">
        <v>83</v>
      </c>
      <c r="G9" s="65" t="s">
        <v>83</v>
      </c>
      <c r="H9" s="66" t="s">
        <v>136</v>
      </c>
    </row>
    <row r="10" customFormat="false" ht="21.75" hidden="false" customHeight="true" outlineLevel="0" collapsed="false">
      <c r="A10" s="60" t="s">
        <v>131</v>
      </c>
      <c r="B10" s="61" t="s">
        <v>132</v>
      </c>
      <c r="C10" s="62" t="s">
        <v>143</v>
      </c>
      <c r="D10" s="62" t="s">
        <v>139</v>
      </c>
      <c r="E10" s="63" t="s">
        <v>145</v>
      </c>
      <c r="F10" s="64" t="s">
        <v>83</v>
      </c>
      <c r="G10" s="65" t="s">
        <v>83</v>
      </c>
      <c r="H10" s="66" t="s">
        <v>136</v>
      </c>
    </row>
    <row r="11" customFormat="false" ht="21.75" hidden="false" customHeight="true" outlineLevel="0" collapsed="false">
      <c r="A11" s="60" t="s">
        <v>131</v>
      </c>
      <c r="B11" s="61" t="s">
        <v>132</v>
      </c>
      <c r="C11" s="62" t="s">
        <v>143</v>
      </c>
      <c r="D11" s="62" t="s">
        <v>141</v>
      </c>
      <c r="E11" s="63" t="s">
        <v>146</v>
      </c>
      <c r="F11" s="64" t="s">
        <v>83</v>
      </c>
      <c r="G11" s="65" t="s">
        <v>83</v>
      </c>
      <c r="H11" s="66" t="s">
        <v>136</v>
      </c>
    </row>
    <row r="12" customFormat="false" ht="21.75" hidden="false" customHeight="true" outlineLevel="0" collapsed="false">
      <c r="A12" s="60" t="s">
        <v>131</v>
      </c>
      <c r="B12" s="61" t="s">
        <v>132</v>
      </c>
      <c r="C12" s="62" t="s">
        <v>147</v>
      </c>
      <c r="D12" s="62" t="s">
        <v>134</v>
      </c>
      <c r="E12" s="63" t="s">
        <v>148</v>
      </c>
      <c r="F12" s="64" t="s">
        <v>83</v>
      </c>
      <c r="G12" s="65" t="s">
        <v>83</v>
      </c>
      <c r="H12" s="66" t="s">
        <v>136</v>
      </c>
    </row>
    <row r="13" customFormat="false" ht="21.75" hidden="false" customHeight="true" outlineLevel="0" collapsed="false">
      <c r="A13" s="60" t="s">
        <v>131</v>
      </c>
      <c r="B13" s="61" t="s">
        <v>132</v>
      </c>
      <c r="C13" s="62" t="s">
        <v>147</v>
      </c>
      <c r="D13" s="62" t="s">
        <v>137</v>
      </c>
      <c r="E13" s="63" t="s">
        <v>149</v>
      </c>
      <c r="F13" s="64" t="s">
        <v>83</v>
      </c>
      <c r="G13" s="65" t="s">
        <v>83</v>
      </c>
      <c r="H13" s="66" t="s">
        <v>136</v>
      </c>
    </row>
    <row r="14" customFormat="false" ht="21.75" hidden="false" customHeight="true" outlineLevel="0" collapsed="false">
      <c r="A14" s="60" t="s">
        <v>131</v>
      </c>
      <c r="B14" s="61" t="s">
        <v>132</v>
      </c>
      <c r="C14" s="62" t="s">
        <v>147</v>
      </c>
      <c r="D14" s="62" t="s">
        <v>139</v>
      </c>
      <c r="E14" s="63" t="s">
        <v>146</v>
      </c>
      <c r="F14" s="64" t="s">
        <v>83</v>
      </c>
      <c r="G14" s="65" t="s">
        <v>83</v>
      </c>
      <c r="H14" s="66" t="s">
        <v>136</v>
      </c>
    </row>
    <row r="15" customFormat="false" ht="21.75" hidden="false" customHeight="true" outlineLevel="0" collapsed="false">
      <c r="A15" s="60" t="s">
        <v>131</v>
      </c>
      <c r="B15" s="61" t="s">
        <v>132</v>
      </c>
      <c r="C15" s="62" t="s">
        <v>147</v>
      </c>
      <c r="D15" s="62" t="s">
        <v>141</v>
      </c>
      <c r="E15" s="63" t="s">
        <v>150</v>
      </c>
      <c r="F15" s="64" t="s">
        <v>83</v>
      </c>
      <c r="G15" s="65" t="s">
        <v>83</v>
      </c>
      <c r="H15" s="66" t="s">
        <v>136</v>
      </c>
    </row>
    <row r="16" customFormat="false" ht="21.75" hidden="false" customHeight="true" outlineLevel="0" collapsed="false">
      <c r="A16" s="67" t="s">
        <v>151</v>
      </c>
      <c r="B16" s="68" t="s">
        <v>152</v>
      </c>
      <c r="C16" s="69" t="s">
        <v>133</v>
      </c>
      <c r="D16" s="69" t="s">
        <v>137</v>
      </c>
      <c r="E16" s="63" t="s">
        <v>138</v>
      </c>
      <c r="F16" s="63" t="s">
        <v>140</v>
      </c>
      <c r="G16" s="65" t="s">
        <v>83</v>
      </c>
      <c r="H16" s="70" t="s">
        <v>153</v>
      </c>
    </row>
    <row r="17" customFormat="false" ht="21.75" hidden="false" customHeight="true" outlineLevel="0" collapsed="false">
      <c r="A17" s="67" t="s">
        <v>151</v>
      </c>
      <c r="B17" s="68" t="s">
        <v>152</v>
      </c>
      <c r="C17" s="69" t="s">
        <v>133</v>
      </c>
      <c r="D17" s="69" t="s">
        <v>137</v>
      </c>
      <c r="E17" s="63" t="s">
        <v>138</v>
      </c>
      <c r="F17" s="63" t="s">
        <v>144</v>
      </c>
      <c r="G17" s="65" t="s">
        <v>83</v>
      </c>
      <c r="H17" s="70" t="s">
        <v>153</v>
      </c>
    </row>
    <row r="18" customFormat="false" ht="21.75" hidden="false" customHeight="true" outlineLevel="0" collapsed="false">
      <c r="A18" s="67" t="s">
        <v>151</v>
      </c>
      <c r="B18" s="68" t="s">
        <v>152</v>
      </c>
      <c r="C18" s="69" t="s">
        <v>133</v>
      </c>
      <c r="D18" s="69" t="s">
        <v>139</v>
      </c>
      <c r="E18" s="63" t="s">
        <v>140</v>
      </c>
      <c r="F18" s="63" t="s">
        <v>135</v>
      </c>
      <c r="G18" s="65" t="s">
        <v>83</v>
      </c>
      <c r="H18" s="70" t="s">
        <v>153</v>
      </c>
    </row>
    <row r="19" customFormat="false" ht="21.75" hidden="false" customHeight="true" outlineLevel="0" collapsed="false">
      <c r="A19" s="67" t="s">
        <v>151</v>
      </c>
      <c r="B19" s="68" t="s">
        <v>152</v>
      </c>
      <c r="C19" s="69" t="s">
        <v>143</v>
      </c>
      <c r="D19" s="69" t="s">
        <v>137</v>
      </c>
      <c r="E19" s="63" t="s">
        <v>144</v>
      </c>
      <c r="F19" s="63" t="s">
        <v>146</v>
      </c>
      <c r="G19" s="65" t="s">
        <v>83</v>
      </c>
      <c r="H19" s="70" t="s">
        <v>153</v>
      </c>
    </row>
    <row r="20" customFormat="false" ht="21.75" hidden="false" customHeight="true" outlineLevel="0" collapsed="false">
      <c r="A20" s="67" t="s">
        <v>151</v>
      </c>
      <c r="B20" s="68" t="s">
        <v>152</v>
      </c>
      <c r="C20" s="69" t="s">
        <v>143</v>
      </c>
      <c r="D20" s="69" t="s">
        <v>137</v>
      </c>
      <c r="E20" s="63" t="s">
        <v>144</v>
      </c>
      <c r="F20" s="63" t="s">
        <v>140</v>
      </c>
      <c r="G20" s="65" t="s">
        <v>83</v>
      </c>
      <c r="H20" s="70" t="s">
        <v>153</v>
      </c>
    </row>
    <row r="21" customFormat="false" ht="21.75" hidden="false" customHeight="true" outlineLevel="0" collapsed="false">
      <c r="A21" s="67" t="s">
        <v>151</v>
      </c>
      <c r="B21" s="68" t="s">
        <v>152</v>
      </c>
      <c r="C21" s="69" t="s">
        <v>143</v>
      </c>
      <c r="D21" s="69" t="s">
        <v>139</v>
      </c>
      <c r="E21" s="63" t="s">
        <v>145</v>
      </c>
      <c r="F21" s="63" t="s">
        <v>154</v>
      </c>
      <c r="G21" s="65" t="s">
        <v>83</v>
      </c>
      <c r="H21" s="70" t="s">
        <v>153</v>
      </c>
    </row>
    <row r="22" customFormat="false" ht="21.75" hidden="false" customHeight="true" outlineLevel="0" collapsed="false">
      <c r="A22" s="67" t="s">
        <v>151</v>
      </c>
      <c r="B22" s="68" t="s">
        <v>152</v>
      </c>
      <c r="C22" s="69" t="s">
        <v>147</v>
      </c>
      <c r="D22" s="69" t="s">
        <v>137</v>
      </c>
      <c r="E22" s="63" t="s">
        <v>149</v>
      </c>
      <c r="F22" s="63" t="s">
        <v>140</v>
      </c>
      <c r="G22" s="65" t="s">
        <v>83</v>
      </c>
      <c r="H22" s="70" t="s">
        <v>153</v>
      </c>
    </row>
    <row r="23" customFormat="false" ht="21.75" hidden="false" customHeight="true" outlineLevel="0" collapsed="false">
      <c r="A23" s="67" t="s">
        <v>151</v>
      </c>
      <c r="B23" s="68" t="s">
        <v>152</v>
      </c>
      <c r="C23" s="69" t="s">
        <v>147</v>
      </c>
      <c r="D23" s="69" t="s">
        <v>137</v>
      </c>
      <c r="E23" s="63" t="s">
        <v>149</v>
      </c>
      <c r="F23" s="63" t="s">
        <v>150</v>
      </c>
      <c r="G23" s="65" t="s">
        <v>83</v>
      </c>
      <c r="H23" s="70" t="s">
        <v>153</v>
      </c>
    </row>
    <row r="24" customFormat="false" ht="21.75" hidden="false" customHeight="true" outlineLevel="0" collapsed="false">
      <c r="A24" s="67" t="s">
        <v>151</v>
      </c>
      <c r="B24" s="68" t="s">
        <v>152</v>
      </c>
      <c r="C24" s="69" t="s">
        <v>147</v>
      </c>
      <c r="D24" s="69" t="s">
        <v>139</v>
      </c>
      <c r="E24" s="63" t="s">
        <v>146</v>
      </c>
      <c r="F24" s="63" t="s">
        <v>150</v>
      </c>
      <c r="G24" s="65" t="s">
        <v>83</v>
      </c>
      <c r="H24" s="70" t="s">
        <v>153</v>
      </c>
    </row>
    <row r="25" customFormat="false" ht="21.75" hidden="false" customHeight="true" outlineLevel="0" collapsed="false">
      <c r="A25" s="67" t="s">
        <v>151</v>
      </c>
      <c r="B25" s="71" t="s">
        <v>155</v>
      </c>
      <c r="C25" s="72" t="s">
        <v>133</v>
      </c>
      <c r="D25" s="72" t="s">
        <v>134</v>
      </c>
      <c r="E25" s="63" t="s">
        <v>135</v>
      </c>
      <c r="F25" s="63" t="s">
        <v>144</v>
      </c>
      <c r="G25" s="65" t="s">
        <v>83</v>
      </c>
      <c r="H25" s="70" t="s">
        <v>156</v>
      </c>
    </row>
    <row r="26" customFormat="false" ht="21.75" hidden="false" customHeight="true" outlineLevel="0" collapsed="false">
      <c r="A26" s="67" t="s">
        <v>151</v>
      </c>
      <c r="B26" s="71" t="s">
        <v>155</v>
      </c>
      <c r="C26" s="72" t="s">
        <v>133</v>
      </c>
      <c r="D26" s="72" t="s">
        <v>134</v>
      </c>
      <c r="E26" s="63" t="s">
        <v>135</v>
      </c>
      <c r="F26" s="63" t="s">
        <v>140</v>
      </c>
      <c r="G26" s="65" t="s">
        <v>83</v>
      </c>
      <c r="H26" s="70" t="s">
        <v>156</v>
      </c>
    </row>
    <row r="27" customFormat="false" ht="21.75" hidden="false" customHeight="true" outlineLevel="0" collapsed="false">
      <c r="A27" s="67" t="s">
        <v>151</v>
      </c>
      <c r="B27" s="71" t="s">
        <v>155</v>
      </c>
      <c r="C27" s="72" t="s">
        <v>133</v>
      </c>
      <c r="D27" s="72" t="s">
        <v>139</v>
      </c>
      <c r="E27" s="63" t="s">
        <v>140</v>
      </c>
      <c r="F27" s="63" t="s">
        <v>145</v>
      </c>
      <c r="G27" s="65" t="s">
        <v>83</v>
      </c>
      <c r="H27" s="70" t="s">
        <v>156</v>
      </c>
    </row>
    <row r="28" customFormat="false" ht="21.75" hidden="false" customHeight="true" outlineLevel="0" collapsed="false">
      <c r="A28" s="67" t="s">
        <v>151</v>
      </c>
      <c r="B28" s="71" t="s">
        <v>155</v>
      </c>
      <c r="C28" s="72" t="s">
        <v>143</v>
      </c>
      <c r="D28" s="72" t="s">
        <v>134</v>
      </c>
      <c r="E28" s="63" t="s">
        <v>140</v>
      </c>
      <c r="F28" s="63" t="s">
        <v>154</v>
      </c>
      <c r="G28" s="65" t="s">
        <v>83</v>
      </c>
      <c r="H28" s="70" t="s">
        <v>156</v>
      </c>
    </row>
    <row r="29" customFormat="false" ht="21.75" hidden="false" customHeight="true" outlineLevel="0" collapsed="false">
      <c r="A29" s="67" t="s">
        <v>151</v>
      </c>
      <c r="B29" s="71" t="s">
        <v>155</v>
      </c>
      <c r="C29" s="72" t="s">
        <v>143</v>
      </c>
      <c r="D29" s="72" t="s">
        <v>134</v>
      </c>
      <c r="E29" s="63" t="s">
        <v>140</v>
      </c>
      <c r="F29" s="63" t="s">
        <v>157</v>
      </c>
      <c r="G29" s="65" t="s">
        <v>83</v>
      </c>
      <c r="H29" s="70" t="s">
        <v>156</v>
      </c>
    </row>
    <row r="30" customFormat="false" ht="21.75" hidden="false" customHeight="true" outlineLevel="0" collapsed="false">
      <c r="A30" s="67" t="s">
        <v>151</v>
      </c>
      <c r="B30" s="71" t="s">
        <v>155</v>
      </c>
      <c r="C30" s="72" t="s">
        <v>143</v>
      </c>
      <c r="D30" s="72" t="s">
        <v>139</v>
      </c>
      <c r="E30" s="63" t="s">
        <v>145</v>
      </c>
      <c r="F30" s="63" t="s">
        <v>157</v>
      </c>
      <c r="G30" s="65" t="s">
        <v>83</v>
      </c>
      <c r="H30" s="70" t="s">
        <v>156</v>
      </c>
    </row>
    <row r="31" customFormat="false" ht="21.75" hidden="false" customHeight="true" outlineLevel="0" collapsed="false">
      <c r="A31" s="67" t="s">
        <v>151</v>
      </c>
      <c r="B31" s="71" t="s">
        <v>155</v>
      </c>
      <c r="C31" s="72" t="s">
        <v>147</v>
      </c>
      <c r="D31" s="72" t="s">
        <v>134</v>
      </c>
      <c r="E31" s="63" t="s">
        <v>148</v>
      </c>
      <c r="F31" s="63" t="s">
        <v>144</v>
      </c>
      <c r="G31" s="65" t="s">
        <v>83</v>
      </c>
      <c r="H31" s="70" t="s">
        <v>156</v>
      </c>
    </row>
    <row r="32" customFormat="false" ht="21.75" hidden="false" customHeight="true" outlineLevel="0" collapsed="false">
      <c r="A32" s="67" t="s">
        <v>151</v>
      </c>
      <c r="B32" s="71" t="s">
        <v>155</v>
      </c>
      <c r="C32" s="72" t="s">
        <v>147</v>
      </c>
      <c r="D32" s="72" t="s">
        <v>134</v>
      </c>
      <c r="E32" s="63" t="s">
        <v>148</v>
      </c>
      <c r="F32" s="63" t="s">
        <v>149</v>
      </c>
      <c r="G32" s="65" t="s">
        <v>83</v>
      </c>
      <c r="H32" s="70" t="s">
        <v>156</v>
      </c>
    </row>
    <row r="33" customFormat="false" ht="21.75" hidden="false" customHeight="true" outlineLevel="0" collapsed="false">
      <c r="A33" s="67" t="s">
        <v>151</v>
      </c>
      <c r="B33" s="71" t="s">
        <v>155</v>
      </c>
      <c r="C33" s="72" t="s">
        <v>147</v>
      </c>
      <c r="D33" s="72" t="s">
        <v>139</v>
      </c>
      <c r="E33" s="63" t="s">
        <v>146</v>
      </c>
      <c r="F33" s="63" t="s">
        <v>154</v>
      </c>
      <c r="G33" s="65" t="s">
        <v>83</v>
      </c>
      <c r="H33" s="70" t="s">
        <v>156</v>
      </c>
    </row>
    <row r="34" customFormat="false" ht="21.75" hidden="false" customHeight="true" outlineLevel="0" collapsed="false">
      <c r="A34" s="67" t="s">
        <v>151</v>
      </c>
      <c r="B34" s="73" t="s">
        <v>158</v>
      </c>
      <c r="C34" s="74" t="s">
        <v>133</v>
      </c>
      <c r="D34" s="74" t="s">
        <v>141</v>
      </c>
      <c r="E34" s="63" t="s">
        <v>142</v>
      </c>
      <c r="F34" s="63" t="s">
        <v>154</v>
      </c>
      <c r="G34" s="65" t="s">
        <v>83</v>
      </c>
      <c r="H34" s="66" t="s">
        <v>159</v>
      </c>
    </row>
    <row r="35" customFormat="false" ht="21.75" hidden="false" customHeight="true" outlineLevel="0" collapsed="false">
      <c r="A35" s="67" t="s">
        <v>151</v>
      </c>
      <c r="B35" s="73" t="s">
        <v>158</v>
      </c>
      <c r="C35" s="74" t="s">
        <v>133</v>
      </c>
      <c r="D35" s="74" t="s">
        <v>141</v>
      </c>
      <c r="E35" s="63" t="s">
        <v>142</v>
      </c>
      <c r="F35" s="63" t="s">
        <v>138</v>
      </c>
      <c r="G35" s="65" t="s">
        <v>83</v>
      </c>
      <c r="H35" s="66" t="s">
        <v>159</v>
      </c>
    </row>
    <row r="36" customFormat="false" ht="21.75" hidden="false" customHeight="true" outlineLevel="0" collapsed="false">
      <c r="A36" s="67" t="s">
        <v>151</v>
      </c>
      <c r="B36" s="73" t="s">
        <v>158</v>
      </c>
      <c r="C36" s="74" t="s">
        <v>143</v>
      </c>
      <c r="D36" s="74" t="s">
        <v>141</v>
      </c>
      <c r="E36" s="63" t="s">
        <v>146</v>
      </c>
      <c r="F36" s="63" t="s">
        <v>140</v>
      </c>
      <c r="G36" s="65" t="s">
        <v>83</v>
      </c>
      <c r="H36" s="66" t="s">
        <v>159</v>
      </c>
    </row>
    <row r="37" customFormat="false" ht="21.75" hidden="false" customHeight="true" outlineLevel="0" collapsed="false">
      <c r="A37" s="67" t="s">
        <v>151</v>
      </c>
      <c r="B37" s="73" t="s">
        <v>158</v>
      </c>
      <c r="C37" s="74" t="s">
        <v>143</v>
      </c>
      <c r="D37" s="74" t="s">
        <v>141</v>
      </c>
      <c r="E37" s="63" t="s">
        <v>146</v>
      </c>
      <c r="F37" s="63" t="s">
        <v>144</v>
      </c>
      <c r="G37" s="65" t="s">
        <v>83</v>
      </c>
      <c r="H37" s="66" t="s">
        <v>159</v>
      </c>
    </row>
    <row r="38" customFormat="false" ht="21.75" hidden="false" customHeight="true" outlineLevel="0" collapsed="false">
      <c r="A38" s="67" t="s">
        <v>151</v>
      </c>
      <c r="B38" s="73" t="s">
        <v>158</v>
      </c>
      <c r="C38" s="74" t="s">
        <v>147</v>
      </c>
      <c r="D38" s="74" t="s">
        <v>141</v>
      </c>
      <c r="E38" s="63" t="s">
        <v>150</v>
      </c>
      <c r="F38" s="63" t="s">
        <v>140</v>
      </c>
      <c r="G38" s="65" t="s">
        <v>83</v>
      </c>
      <c r="H38" s="66" t="s">
        <v>159</v>
      </c>
    </row>
    <row r="39" customFormat="false" ht="21.75" hidden="false" customHeight="true" outlineLevel="0" collapsed="false">
      <c r="A39" s="67" t="s">
        <v>151</v>
      </c>
      <c r="B39" s="73" t="s">
        <v>158</v>
      </c>
      <c r="C39" s="74" t="s">
        <v>147</v>
      </c>
      <c r="D39" s="74" t="s">
        <v>141</v>
      </c>
      <c r="E39" s="63" t="s">
        <v>150</v>
      </c>
      <c r="F39" s="63" t="s">
        <v>146</v>
      </c>
      <c r="G39" s="65" t="s">
        <v>83</v>
      </c>
      <c r="H39" s="66" t="s">
        <v>159</v>
      </c>
    </row>
    <row r="40" customFormat="false" ht="21.75" hidden="false" customHeight="true" outlineLevel="0" collapsed="false">
      <c r="A40" s="75" t="s">
        <v>160</v>
      </c>
      <c r="B40" s="68" t="s">
        <v>152</v>
      </c>
      <c r="C40" s="69" t="s">
        <v>133</v>
      </c>
      <c r="D40" s="69" t="s">
        <v>134</v>
      </c>
      <c r="E40" s="63" t="s">
        <v>135</v>
      </c>
      <c r="F40" s="63" t="s">
        <v>140</v>
      </c>
      <c r="G40" s="63" t="s">
        <v>142</v>
      </c>
      <c r="H40" s="70" t="s">
        <v>161</v>
      </c>
    </row>
    <row r="41" customFormat="false" ht="21.75" hidden="false" customHeight="true" outlineLevel="0" collapsed="false">
      <c r="A41" s="75" t="s">
        <v>160</v>
      </c>
      <c r="B41" s="68" t="s">
        <v>152</v>
      </c>
      <c r="C41" s="69" t="s">
        <v>133</v>
      </c>
      <c r="D41" s="69" t="s">
        <v>137</v>
      </c>
      <c r="E41" s="63" t="s">
        <v>138</v>
      </c>
      <c r="F41" s="63" t="s">
        <v>144</v>
      </c>
      <c r="G41" s="63" t="s">
        <v>154</v>
      </c>
      <c r="H41" s="70" t="s">
        <v>161</v>
      </c>
    </row>
    <row r="42" customFormat="false" ht="21.75" hidden="false" customHeight="true" outlineLevel="0" collapsed="false">
      <c r="A42" s="75" t="s">
        <v>160</v>
      </c>
      <c r="B42" s="68" t="s">
        <v>152</v>
      </c>
      <c r="C42" s="69" t="s">
        <v>133</v>
      </c>
      <c r="D42" s="69" t="s">
        <v>139</v>
      </c>
      <c r="E42" s="63" t="s">
        <v>140</v>
      </c>
      <c r="F42" s="63" t="s">
        <v>142</v>
      </c>
      <c r="G42" s="63" t="s">
        <v>162</v>
      </c>
      <c r="H42" s="70" t="s">
        <v>161</v>
      </c>
    </row>
    <row r="43" customFormat="false" ht="21.75" hidden="false" customHeight="true" outlineLevel="0" collapsed="false">
      <c r="A43" s="75" t="s">
        <v>160</v>
      </c>
      <c r="B43" s="68" t="s">
        <v>152</v>
      </c>
      <c r="C43" s="69" t="s">
        <v>133</v>
      </c>
      <c r="D43" s="69" t="s">
        <v>139</v>
      </c>
      <c r="E43" s="63" t="s">
        <v>140</v>
      </c>
      <c r="F43" s="63" t="s">
        <v>135</v>
      </c>
      <c r="G43" s="63" t="s">
        <v>163</v>
      </c>
      <c r="H43" s="70" t="s">
        <v>161</v>
      </c>
    </row>
    <row r="44" customFormat="false" ht="21.75" hidden="false" customHeight="true" outlineLevel="0" collapsed="false">
      <c r="A44" s="75" t="s">
        <v>160</v>
      </c>
      <c r="B44" s="68" t="s">
        <v>152</v>
      </c>
      <c r="C44" s="69" t="s">
        <v>143</v>
      </c>
      <c r="D44" s="69" t="s">
        <v>134</v>
      </c>
      <c r="E44" s="63" t="s">
        <v>140</v>
      </c>
      <c r="F44" s="63" t="s">
        <v>154</v>
      </c>
      <c r="G44" s="65" t="s">
        <v>164</v>
      </c>
      <c r="H44" s="70" t="s">
        <v>161</v>
      </c>
    </row>
    <row r="45" customFormat="false" ht="21.75" hidden="false" customHeight="true" outlineLevel="0" collapsed="false">
      <c r="A45" s="75" t="s">
        <v>160</v>
      </c>
      <c r="B45" s="68" t="s">
        <v>152</v>
      </c>
      <c r="C45" s="69" t="s">
        <v>143</v>
      </c>
      <c r="D45" s="69" t="s">
        <v>137</v>
      </c>
      <c r="E45" s="63" t="s">
        <v>144</v>
      </c>
      <c r="F45" s="63" t="s">
        <v>140</v>
      </c>
      <c r="G45" s="63" t="s">
        <v>135</v>
      </c>
      <c r="H45" s="70" t="s">
        <v>161</v>
      </c>
    </row>
    <row r="46" customFormat="false" ht="21.75" hidden="false" customHeight="true" outlineLevel="0" collapsed="false">
      <c r="A46" s="75" t="s">
        <v>160</v>
      </c>
      <c r="B46" s="68" t="s">
        <v>152</v>
      </c>
      <c r="C46" s="69" t="s">
        <v>143</v>
      </c>
      <c r="D46" s="69" t="s">
        <v>139</v>
      </c>
      <c r="E46" s="63" t="s">
        <v>145</v>
      </c>
      <c r="F46" s="63" t="s">
        <v>154</v>
      </c>
      <c r="G46" s="65" t="s">
        <v>164</v>
      </c>
      <c r="H46" s="70" t="s">
        <v>161</v>
      </c>
    </row>
    <row r="47" customFormat="false" ht="21.75" hidden="false" customHeight="true" outlineLevel="0" collapsed="false">
      <c r="A47" s="75" t="s">
        <v>160</v>
      </c>
      <c r="B47" s="68" t="s">
        <v>152</v>
      </c>
      <c r="C47" s="69" t="s">
        <v>143</v>
      </c>
      <c r="D47" s="69" t="s">
        <v>139</v>
      </c>
      <c r="E47" s="63" t="s">
        <v>145</v>
      </c>
      <c r="F47" s="63" t="s">
        <v>144</v>
      </c>
      <c r="G47" s="63" t="s">
        <v>140</v>
      </c>
      <c r="H47" s="70" t="s">
        <v>161</v>
      </c>
    </row>
    <row r="48" customFormat="false" ht="21.75" hidden="false" customHeight="true" outlineLevel="0" collapsed="false">
      <c r="A48" s="75" t="s">
        <v>160</v>
      </c>
      <c r="B48" s="68" t="s">
        <v>152</v>
      </c>
      <c r="C48" s="69" t="s">
        <v>147</v>
      </c>
      <c r="D48" s="69" t="s">
        <v>134</v>
      </c>
      <c r="E48" s="63" t="s">
        <v>148</v>
      </c>
      <c r="F48" s="63" t="s">
        <v>149</v>
      </c>
      <c r="G48" s="63" t="s">
        <v>165</v>
      </c>
      <c r="H48" s="70" t="s">
        <v>161</v>
      </c>
    </row>
    <row r="49" customFormat="false" ht="21.75" hidden="false" customHeight="true" outlineLevel="0" collapsed="false">
      <c r="A49" s="75" t="s">
        <v>160</v>
      </c>
      <c r="B49" s="68" t="s">
        <v>152</v>
      </c>
      <c r="C49" s="69" t="s">
        <v>147</v>
      </c>
      <c r="D49" s="69" t="s">
        <v>137</v>
      </c>
      <c r="E49" s="63" t="s">
        <v>149</v>
      </c>
      <c r="F49" s="63" t="s">
        <v>140</v>
      </c>
      <c r="G49" s="63" t="s">
        <v>135</v>
      </c>
      <c r="H49" s="70" t="s">
        <v>161</v>
      </c>
    </row>
    <row r="50" customFormat="false" ht="21.75" hidden="false" customHeight="true" outlineLevel="0" collapsed="false">
      <c r="A50" s="75" t="s">
        <v>160</v>
      </c>
      <c r="B50" s="68" t="s">
        <v>152</v>
      </c>
      <c r="C50" s="69" t="s">
        <v>147</v>
      </c>
      <c r="D50" s="69" t="s">
        <v>139</v>
      </c>
      <c r="E50" s="63" t="s">
        <v>146</v>
      </c>
      <c r="F50" s="63" t="s">
        <v>150</v>
      </c>
      <c r="G50" s="63" t="s">
        <v>140</v>
      </c>
      <c r="H50" s="70" t="s">
        <v>161</v>
      </c>
    </row>
    <row r="51" customFormat="false" ht="21.75" hidden="false" customHeight="true" outlineLevel="0" collapsed="false">
      <c r="A51" s="75" t="s">
        <v>160</v>
      </c>
      <c r="B51" s="68" t="s">
        <v>152</v>
      </c>
      <c r="C51" s="69" t="s">
        <v>147</v>
      </c>
      <c r="D51" s="69" t="s">
        <v>139</v>
      </c>
      <c r="E51" s="63" t="s">
        <v>154</v>
      </c>
      <c r="F51" s="63" t="s">
        <v>150</v>
      </c>
      <c r="G51" s="63" t="s">
        <v>165</v>
      </c>
      <c r="H51" s="70" t="s">
        <v>161</v>
      </c>
    </row>
    <row r="52" customFormat="false" ht="21.75" hidden="false" customHeight="true" outlineLevel="0" collapsed="false">
      <c r="A52" s="75" t="s">
        <v>160</v>
      </c>
      <c r="B52" s="71" t="s">
        <v>155</v>
      </c>
      <c r="C52" s="72" t="s">
        <v>133</v>
      </c>
      <c r="D52" s="72" t="s">
        <v>134</v>
      </c>
      <c r="E52" s="63" t="s">
        <v>135</v>
      </c>
      <c r="F52" s="63" t="s">
        <v>154</v>
      </c>
      <c r="G52" s="63" t="s">
        <v>145</v>
      </c>
      <c r="H52" s="70" t="s">
        <v>166</v>
      </c>
    </row>
    <row r="53" customFormat="false" ht="21.75" hidden="false" customHeight="true" outlineLevel="0" collapsed="false">
      <c r="A53" s="75" t="s">
        <v>160</v>
      </c>
      <c r="B53" s="71" t="s">
        <v>155</v>
      </c>
      <c r="C53" s="72" t="s">
        <v>133</v>
      </c>
      <c r="D53" s="72" t="s">
        <v>137</v>
      </c>
      <c r="E53" s="63" t="s">
        <v>135</v>
      </c>
      <c r="F53" s="63" t="s">
        <v>140</v>
      </c>
      <c r="G53" s="63" t="s">
        <v>154</v>
      </c>
      <c r="H53" s="70" t="s">
        <v>166</v>
      </c>
    </row>
    <row r="54" customFormat="false" ht="21.75" hidden="false" customHeight="true" outlineLevel="0" collapsed="false">
      <c r="A54" s="75" t="s">
        <v>160</v>
      </c>
      <c r="B54" s="71" t="s">
        <v>155</v>
      </c>
      <c r="C54" s="72" t="s">
        <v>133</v>
      </c>
      <c r="D54" s="72" t="s">
        <v>139</v>
      </c>
      <c r="E54" s="63" t="s">
        <v>140</v>
      </c>
      <c r="F54" s="63" t="s">
        <v>145</v>
      </c>
      <c r="G54" s="63" t="s">
        <v>144</v>
      </c>
      <c r="H54" s="70" t="s">
        <v>166</v>
      </c>
    </row>
    <row r="55" customFormat="false" ht="21.75" hidden="false" customHeight="true" outlineLevel="0" collapsed="false">
      <c r="A55" s="75" t="s">
        <v>160</v>
      </c>
      <c r="B55" s="71" t="s">
        <v>155</v>
      </c>
      <c r="C55" s="72" t="s">
        <v>133</v>
      </c>
      <c r="D55" s="72" t="s">
        <v>141</v>
      </c>
      <c r="E55" s="63" t="s">
        <v>135</v>
      </c>
      <c r="F55" s="63" t="s">
        <v>154</v>
      </c>
      <c r="G55" s="63" t="s">
        <v>167</v>
      </c>
      <c r="H55" s="70" t="s">
        <v>166</v>
      </c>
    </row>
    <row r="56" customFormat="false" ht="21.75" hidden="false" customHeight="true" outlineLevel="0" collapsed="false">
      <c r="A56" s="75" t="s">
        <v>160</v>
      </c>
      <c r="B56" s="71" t="s">
        <v>155</v>
      </c>
      <c r="C56" s="72" t="s">
        <v>143</v>
      </c>
      <c r="D56" s="72" t="s">
        <v>134</v>
      </c>
      <c r="E56" s="63" t="s">
        <v>140</v>
      </c>
      <c r="F56" s="63" t="s">
        <v>144</v>
      </c>
      <c r="G56" s="63" t="s">
        <v>146</v>
      </c>
      <c r="H56" s="70" t="s">
        <v>166</v>
      </c>
    </row>
    <row r="57" customFormat="false" ht="21.75" hidden="false" customHeight="true" outlineLevel="0" collapsed="false">
      <c r="A57" s="75" t="s">
        <v>160</v>
      </c>
      <c r="B57" s="71" t="s">
        <v>155</v>
      </c>
      <c r="C57" s="72" t="s">
        <v>143</v>
      </c>
      <c r="D57" s="72" t="s">
        <v>137</v>
      </c>
      <c r="E57" s="63" t="s">
        <v>144</v>
      </c>
      <c r="F57" s="63" t="s">
        <v>157</v>
      </c>
      <c r="G57" s="63" t="s">
        <v>145</v>
      </c>
      <c r="H57" s="70" t="s">
        <v>166</v>
      </c>
    </row>
    <row r="58" customFormat="false" ht="21.75" hidden="false" customHeight="true" outlineLevel="0" collapsed="false">
      <c r="A58" s="75" t="s">
        <v>160</v>
      </c>
      <c r="B58" s="71" t="s">
        <v>155</v>
      </c>
      <c r="C58" s="72" t="s">
        <v>143</v>
      </c>
      <c r="D58" s="72" t="s">
        <v>139</v>
      </c>
      <c r="E58" s="63" t="s">
        <v>145</v>
      </c>
      <c r="F58" s="63" t="s">
        <v>157</v>
      </c>
      <c r="G58" s="63" t="s">
        <v>167</v>
      </c>
      <c r="H58" s="70" t="s">
        <v>166</v>
      </c>
    </row>
    <row r="59" customFormat="false" ht="21.75" hidden="false" customHeight="true" outlineLevel="0" collapsed="false">
      <c r="A59" s="75" t="s">
        <v>160</v>
      </c>
      <c r="B59" s="71" t="s">
        <v>155</v>
      </c>
      <c r="C59" s="72" t="s">
        <v>143</v>
      </c>
      <c r="D59" s="72" t="s">
        <v>141</v>
      </c>
      <c r="E59" s="63" t="s">
        <v>144</v>
      </c>
      <c r="F59" s="63" t="s">
        <v>157</v>
      </c>
      <c r="G59" s="63" t="s">
        <v>154</v>
      </c>
      <c r="H59" s="70" t="s">
        <v>166</v>
      </c>
    </row>
    <row r="60" customFormat="false" ht="21.75" hidden="false" customHeight="true" outlineLevel="0" collapsed="false">
      <c r="A60" s="75" t="s">
        <v>160</v>
      </c>
      <c r="B60" s="71" t="s">
        <v>155</v>
      </c>
      <c r="C60" s="72" t="s">
        <v>147</v>
      </c>
      <c r="D60" s="72" t="s">
        <v>134</v>
      </c>
      <c r="E60" s="63" t="s">
        <v>146</v>
      </c>
      <c r="F60" s="63" t="s">
        <v>144</v>
      </c>
      <c r="G60" s="63" t="s">
        <v>154</v>
      </c>
      <c r="H60" s="70" t="s">
        <v>166</v>
      </c>
    </row>
    <row r="61" customFormat="false" ht="21.75" hidden="false" customHeight="true" outlineLevel="0" collapsed="false">
      <c r="A61" s="75" t="s">
        <v>160</v>
      </c>
      <c r="B61" s="71" t="s">
        <v>155</v>
      </c>
      <c r="C61" s="72" t="s">
        <v>147</v>
      </c>
      <c r="D61" s="72" t="s">
        <v>137</v>
      </c>
      <c r="E61" s="63" t="s">
        <v>149</v>
      </c>
      <c r="F61" s="63" t="s">
        <v>154</v>
      </c>
      <c r="G61" s="63" t="s">
        <v>145</v>
      </c>
      <c r="H61" s="70" t="s">
        <v>166</v>
      </c>
    </row>
    <row r="62" customFormat="false" ht="21.75" hidden="false" customHeight="true" outlineLevel="0" collapsed="false">
      <c r="A62" s="75" t="s">
        <v>160</v>
      </c>
      <c r="B62" s="71" t="s">
        <v>155</v>
      </c>
      <c r="C62" s="72" t="s">
        <v>147</v>
      </c>
      <c r="D62" s="72" t="s">
        <v>139</v>
      </c>
      <c r="E62" s="63" t="s">
        <v>146</v>
      </c>
      <c r="F62" s="63" t="s">
        <v>154</v>
      </c>
      <c r="G62" s="63" t="s">
        <v>144</v>
      </c>
      <c r="H62" s="70" t="s">
        <v>166</v>
      </c>
    </row>
    <row r="63" customFormat="false" ht="21.75" hidden="false" customHeight="true" outlineLevel="0" collapsed="false">
      <c r="A63" s="75" t="s">
        <v>160</v>
      </c>
      <c r="B63" s="71" t="s">
        <v>155</v>
      </c>
      <c r="C63" s="72" t="s">
        <v>147</v>
      </c>
      <c r="D63" s="72" t="s">
        <v>141</v>
      </c>
      <c r="E63" s="63" t="s">
        <v>146</v>
      </c>
      <c r="F63" s="63" t="s">
        <v>144</v>
      </c>
      <c r="G63" s="63" t="s">
        <v>154</v>
      </c>
      <c r="H63" s="70" t="s">
        <v>166</v>
      </c>
    </row>
    <row r="64" customFormat="false" ht="21.75" hidden="false" customHeight="true" outlineLevel="0" collapsed="false">
      <c r="A64" s="75" t="s">
        <v>160</v>
      </c>
      <c r="B64" s="73" t="s">
        <v>158</v>
      </c>
      <c r="C64" s="74" t="s">
        <v>133</v>
      </c>
      <c r="D64" s="74" t="s">
        <v>134</v>
      </c>
      <c r="E64" s="63" t="s">
        <v>135</v>
      </c>
      <c r="F64" s="63" t="s">
        <v>144</v>
      </c>
      <c r="G64" s="63" t="s">
        <v>157</v>
      </c>
      <c r="H64" s="66" t="s">
        <v>159</v>
      </c>
    </row>
    <row r="65" customFormat="false" ht="21.75" hidden="false" customHeight="true" outlineLevel="0" collapsed="false">
      <c r="A65" s="75" t="s">
        <v>160</v>
      </c>
      <c r="B65" s="73" t="s">
        <v>158</v>
      </c>
      <c r="C65" s="74" t="s">
        <v>133</v>
      </c>
      <c r="D65" s="74" t="s">
        <v>137</v>
      </c>
      <c r="E65" s="63" t="s">
        <v>138</v>
      </c>
      <c r="F65" s="63" t="s">
        <v>140</v>
      </c>
      <c r="G65" s="63" t="s">
        <v>162</v>
      </c>
      <c r="H65" s="66" t="s">
        <v>159</v>
      </c>
    </row>
    <row r="66" customFormat="false" ht="21.75" hidden="false" customHeight="true" outlineLevel="0" collapsed="false">
      <c r="A66" s="75" t="s">
        <v>160</v>
      </c>
      <c r="B66" s="73" t="s">
        <v>158</v>
      </c>
      <c r="C66" s="74" t="s">
        <v>133</v>
      </c>
      <c r="D66" s="74" t="s">
        <v>141</v>
      </c>
      <c r="E66" s="63" t="s">
        <v>142</v>
      </c>
      <c r="F66" s="63" t="s">
        <v>138</v>
      </c>
      <c r="G66" s="63" t="s">
        <v>140</v>
      </c>
      <c r="H66" s="66" t="s">
        <v>159</v>
      </c>
    </row>
    <row r="67" customFormat="false" ht="21.75" hidden="false" customHeight="true" outlineLevel="0" collapsed="false">
      <c r="A67" s="75" t="s">
        <v>160</v>
      </c>
      <c r="B67" s="73" t="s">
        <v>158</v>
      </c>
      <c r="C67" s="74" t="s">
        <v>133</v>
      </c>
      <c r="D67" s="74" t="s">
        <v>141</v>
      </c>
      <c r="E67" s="63" t="s">
        <v>154</v>
      </c>
      <c r="F67" s="63" t="s">
        <v>167</v>
      </c>
      <c r="G67" s="63" t="s">
        <v>145</v>
      </c>
      <c r="H67" s="66" t="s">
        <v>159</v>
      </c>
    </row>
    <row r="68" customFormat="false" ht="21.75" hidden="false" customHeight="true" outlineLevel="0" collapsed="false">
      <c r="A68" s="75" t="s">
        <v>160</v>
      </c>
      <c r="B68" s="73" t="s">
        <v>158</v>
      </c>
      <c r="C68" s="74" t="s">
        <v>133</v>
      </c>
      <c r="D68" s="74" t="s">
        <v>141</v>
      </c>
      <c r="E68" s="63" t="s">
        <v>142</v>
      </c>
      <c r="F68" s="63" t="s">
        <v>154</v>
      </c>
      <c r="G68" s="65" t="s">
        <v>164</v>
      </c>
      <c r="H68" s="66" t="s">
        <v>159</v>
      </c>
    </row>
    <row r="69" customFormat="false" ht="21.75" hidden="false" customHeight="true" outlineLevel="0" collapsed="false">
      <c r="A69" s="75" t="s">
        <v>160</v>
      </c>
      <c r="B69" s="73" t="s">
        <v>158</v>
      </c>
      <c r="C69" s="74" t="s">
        <v>143</v>
      </c>
      <c r="D69" s="74" t="s">
        <v>134</v>
      </c>
      <c r="E69" s="63" t="s">
        <v>140</v>
      </c>
      <c r="F69" s="63" t="s">
        <v>157</v>
      </c>
      <c r="G69" s="63" t="s">
        <v>146</v>
      </c>
      <c r="H69" s="66" t="s">
        <v>159</v>
      </c>
    </row>
    <row r="70" customFormat="false" ht="21.75" hidden="false" customHeight="true" outlineLevel="0" collapsed="false">
      <c r="A70" s="75" t="s">
        <v>160</v>
      </c>
      <c r="B70" s="73" t="s">
        <v>158</v>
      </c>
      <c r="C70" s="74" t="s">
        <v>143</v>
      </c>
      <c r="D70" s="74" t="s">
        <v>137</v>
      </c>
      <c r="E70" s="63" t="s">
        <v>144</v>
      </c>
      <c r="F70" s="63" t="s">
        <v>146</v>
      </c>
      <c r="G70" s="63" t="s">
        <v>154</v>
      </c>
      <c r="H70" s="66" t="s">
        <v>159</v>
      </c>
    </row>
    <row r="71" customFormat="false" ht="21.75" hidden="false" customHeight="true" outlineLevel="0" collapsed="false">
      <c r="A71" s="75" t="s">
        <v>160</v>
      </c>
      <c r="B71" s="73" t="s">
        <v>158</v>
      </c>
      <c r="C71" s="74" t="s">
        <v>143</v>
      </c>
      <c r="D71" s="74" t="s">
        <v>141</v>
      </c>
      <c r="E71" s="63" t="s">
        <v>146</v>
      </c>
      <c r="F71" s="63" t="s">
        <v>140</v>
      </c>
      <c r="G71" s="63" t="s">
        <v>135</v>
      </c>
      <c r="H71" s="66" t="s">
        <v>159</v>
      </c>
    </row>
    <row r="72" customFormat="false" ht="21.75" hidden="false" customHeight="true" outlineLevel="0" collapsed="false">
      <c r="A72" s="75" t="s">
        <v>160</v>
      </c>
      <c r="B72" s="73" t="s">
        <v>158</v>
      </c>
      <c r="C72" s="74" t="s">
        <v>143</v>
      </c>
      <c r="D72" s="74" t="s">
        <v>141</v>
      </c>
      <c r="E72" s="63" t="s">
        <v>146</v>
      </c>
      <c r="F72" s="63" t="s">
        <v>144</v>
      </c>
      <c r="G72" s="63" t="s">
        <v>145</v>
      </c>
      <c r="H72" s="66" t="s">
        <v>159</v>
      </c>
    </row>
    <row r="73" customFormat="false" ht="21.75" hidden="false" customHeight="true" outlineLevel="0" collapsed="false">
      <c r="A73" s="75" t="s">
        <v>160</v>
      </c>
      <c r="B73" s="73" t="s">
        <v>158</v>
      </c>
      <c r="C73" s="74" t="s">
        <v>143</v>
      </c>
      <c r="D73" s="74" t="s">
        <v>141</v>
      </c>
      <c r="E73" s="63" t="s">
        <v>146</v>
      </c>
      <c r="F73" s="63" t="s">
        <v>157</v>
      </c>
      <c r="G73" s="63" t="s">
        <v>145</v>
      </c>
      <c r="H73" s="66" t="s">
        <v>159</v>
      </c>
    </row>
    <row r="74" customFormat="false" ht="21.75" hidden="false" customHeight="true" outlineLevel="0" collapsed="false">
      <c r="A74" s="75" t="s">
        <v>160</v>
      </c>
      <c r="B74" s="73" t="s">
        <v>158</v>
      </c>
      <c r="C74" s="74" t="s">
        <v>147</v>
      </c>
      <c r="D74" s="74" t="s">
        <v>134</v>
      </c>
      <c r="E74" s="63" t="s">
        <v>148</v>
      </c>
      <c r="F74" s="63" t="s">
        <v>144</v>
      </c>
      <c r="G74" s="63" t="s">
        <v>154</v>
      </c>
      <c r="H74" s="66" t="s">
        <v>159</v>
      </c>
    </row>
    <row r="75" customFormat="false" ht="21.75" hidden="false" customHeight="true" outlineLevel="0" collapsed="false">
      <c r="A75" s="75" t="s">
        <v>160</v>
      </c>
      <c r="B75" s="73" t="s">
        <v>158</v>
      </c>
      <c r="C75" s="74" t="s">
        <v>147</v>
      </c>
      <c r="D75" s="74" t="s">
        <v>137</v>
      </c>
      <c r="E75" s="63" t="s">
        <v>149</v>
      </c>
      <c r="F75" s="63" t="s">
        <v>150</v>
      </c>
      <c r="G75" s="63" t="s">
        <v>165</v>
      </c>
      <c r="H75" s="66" t="s">
        <v>159</v>
      </c>
    </row>
    <row r="76" customFormat="false" ht="21.75" hidden="false" customHeight="true" outlineLevel="0" collapsed="false">
      <c r="A76" s="75" t="s">
        <v>160</v>
      </c>
      <c r="B76" s="73" t="s">
        <v>158</v>
      </c>
      <c r="C76" s="74" t="s">
        <v>147</v>
      </c>
      <c r="D76" s="74" t="s">
        <v>141</v>
      </c>
      <c r="E76" s="63" t="s">
        <v>150</v>
      </c>
      <c r="F76" s="63" t="s">
        <v>140</v>
      </c>
      <c r="G76" s="63" t="s">
        <v>165</v>
      </c>
      <c r="H76" s="66" t="s">
        <v>159</v>
      </c>
    </row>
    <row r="77" customFormat="false" ht="21.75" hidden="false" customHeight="true" outlineLevel="0" collapsed="false">
      <c r="A77" s="75" t="s">
        <v>160</v>
      </c>
      <c r="B77" s="73" t="s">
        <v>158</v>
      </c>
      <c r="C77" s="74" t="s">
        <v>147</v>
      </c>
      <c r="D77" s="74" t="s">
        <v>141</v>
      </c>
      <c r="E77" s="63" t="s">
        <v>154</v>
      </c>
      <c r="F77" s="63" t="s">
        <v>146</v>
      </c>
      <c r="G77" s="63" t="s">
        <v>145</v>
      </c>
      <c r="H77" s="66" t="s">
        <v>159</v>
      </c>
    </row>
    <row r="78" customFormat="false" ht="21.75" hidden="false" customHeight="true" outlineLevel="0" collapsed="false">
      <c r="A78" s="75" t="s">
        <v>160</v>
      </c>
      <c r="B78" s="73" t="s">
        <v>158</v>
      </c>
      <c r="C78" s="74" t="s">
        <v>147</v>
      </c>
      <c r="D78" s="74" t="s">
        <v>141</v>
      </c>
      <c r="E78" s="63" t="s">
        <v>150</v>
      </c>
      <c r="F78" s="63" t="s">
        <v>146</v>
      </c>
      <c r="G78" s="65" t="s">
        <v>164</v>
      </c>
      <c r="H78" s="66" t="s">
        <v>159</v>
      </c>
    </row>
    <row r="80" customFormat="false" ht="6" hidden="false" customHeight="true" outlineLevel="0" collapsed="false">
      <c r="A80" s="76"/>
      <c r="B80" s="76"/>
      <c r="C80" s="76"/>
      <c r="D80" s="76"/>
      <c r="E80" s="76"/>
      <c r="F80" s="76"/>
      <c r="G80" s="76"/>
      <c r="H80" s="76"/>
    </row>
    <row r="81" customFormat="false" ht="24" hidden="false" customHeight="true" outlineLevel="0" collapsed="false">
      <c r="A81" s="77" t="s">
        <v>168</v>
      </c>
      <c r="B81" s="77"/>
      <c r="C81" s="60" t="s">
        <v>169</v>
      </c>
      <c r="D81" s="67" t="s">
        <v>170</v>
      </c>
      <c r="E81" s="75" t="s">
        <v>171</v>
      </c>
    </row>
    <row r="82" customFormat="false" ht="24" hidden="false" customHeight="true" outlineLevel="0" collapsed="false">
      <c r="A82" s="77" t="s">
        <v>172</v>
      </c>
      <c r="B82" s="77"/>
      <c r="C82" s="78" t="s">
        <v>173</v>
      </c>
      <c r="D82" s="79" t="s">
        <v>174</v>
      </c>
      <c r="E82" s="80" t="s">
        <v>175</v>
      </c>
      <c r="F82" s="81" t="s">
        <v>176</v>
      </c>
    </row>
  </sheetData>
  <mergeCells count="5">
    <mergeCell ref="A1:H1"/>
    <mergeCell ref="A2:H2"/>
    <mergeCell ref="A80:H80"/>
    <mergeCell ref="A81:B81"/>
    <mergeCell ref="A82:B82"/>
  </mergeCells>
  <hyperlinks>
    <hyperlink ref="B4" r:id="rId1" location="📌%20기획%20의도!A1" display="기본 제작"/>
    <hyperlink ref="B5" r:id="rId2" location="📌%20기획%20의도!A1" display="기본 제작"/>
    <hyperlink ref="B6" r:id="rId3" location="📌%20기획%20의도!A1" display="기본 제작"/>
    <hyperlink ref="B7" r:id="rId4" location="📌%20기획%20의도!A1" display="기본 제작"/>
    <hyperlink ref="B8" r:id="rId5" location="📌%20기획%20의도!A1" display="기본 제작"/>
    <hyperlink ref="B9" r:id="rId6" location="📌%20기획%20의도!A1" display="기본 제작"/>
    <hyperlink ref="B10" r:id="rId7" location="📌%20기획%20의도!A1" display="기본 제작"/>
    <hyperlink ref="B11" r:id="rId8" location="📌%20기획%20의도!A1" display="기본 제작"/>
    <hyperlink ref="B12" r:id="rId9" location="📌%20기획%20의도!A1" display="기본 제작"/>
    <hyperlink ref="B13" r:id="rId10" location="📌%20기획%20의도!A1" display="기본 제작"/>
    <hyperlink ref="B14" r:id="rId11" location="📌%20기획%20의도!A1" display="기본 제작"/>
    <hyperlink ref="B15" r:id="rId12" location="📌%20기획%20의도!A1" display="기본 제작"/>
    <hyperlink ref="B16" r:id="rId13" location="🗡️%20전리품%20제작!A1" display="전리품 제작"/>
    <hyperlink ref="B17" r:id="rId14" location="🗡️%20전리품%20제작!A1" display="전리품 제작"/>
    <hyperlink ref="B18" r:id="rId15" location="🗡️%20전리품%20제작!A1" display="전리품 제작"/>
    <hyperlink ref="B19" r:id="rId16" location="🗡️%20전리품%20제작!A1" display="전리품 제작"/>
    <hyperlink ref="B20" r:id="rId17" location="🗡️%20전리품%20제작!A1" display="전리품 제작"/>
    <hyperlink ref="B21" r:id="rId18" location="🗡️%20전리품%20제작!A1" display="전리품 제작"/>
    <hyperlink ref="B22" r:id="rId19" location="🗡️%20전리품%20제작!A1" display="전리품 제작"/>
    <hyperlink ref="B23" r:id="rId20" location="🗡️%20전리품%20제작!A1" display="전리품 제작"/>
    <hyperlink ref="B24" r:id="rId21" location="🗡️%20전리품%20제작!A1" display="전리품 제작"/>
    <hyperlink ref="B25" r:id="rId22" location="🏰%20던전%20코어%20제작!A1" display="던전 코어 제작"/>
    <hyperlink ref="B26" r:id="rId23" location="🏰%20던전%20코어%20제작!A1" display="던전 코어 제작"/>
    <hyperlink ref="B27" r:id="rId24" location="🏰%20던전%20코어%20제작!A1" display="던전 코어 제작"/>
    <hyperlink ref="B28" r:id="rId25" location="🏰%20던전%20코어%20제작!A1" display="던전 코어 제작"/>
    <hyperlink ref="B29" r:id="rId26" location="🏰%20던전%20코어%20제작!A1" display="던전 코어 제작"/>
    <hyperlink ref="B30" r:id="rId27" location="🏰%20던전%20코어%20제작!A1" display="던전 코어 제작"/>
    <hyperlink ref="B31" r:id="rId28" location="🏰%20던전%20코어%20제작!A1" display="던전 코어 제작"/>
    <hyperlink ref="B32" r:id="rId29" location="🏰%20던전%20코어%20제작!A1" display="던전 코어 제작"/>
    <hyperlink ref="B33" r:id="rId30" location="🏰%20던전%20코어%20제작!A1" display="던전 코어 제작"/>
    <hyperlink ref="B34" r:id="rId31" location="🎲%20드랍률%20설계!A1" display="보스 드랍"/>
    <hyperlink ref="B35" r:id="rId32" location="🎲%20드랍률%20설계!A1" display="보스 드랍"/>
    <hyperlink ref="B36" r:id="rId33" location="🎲%20드랍률%20설계!A1" display="보스 드랍"/>
    <hyperlink ref="B37" r:id="rId34" location="🎲%20드랍률%20설계!A1" display="보스 드랍"/>
    <hyperlink ref="B38" r:id="rId35" location="🎲%20드랍률%20설계!A1" display="보스 드랍"/>
    <hyperlink ref="B39" r:id="rId36" location="🎲%20드랍률%20설계!A1" display="보스 드랍"/>
    <hyperlink ref="B40" r:id="rId37" location="🗡️%20전리품%20제작!A1" display="전리품 제작"/>
    <hyperlink ref="B41" r:id="rId38" location="🗡️%20전리품%20제작!A1" display="전리품 제작"/>
    <hyperlink ref="B42" r:id="rId39" location="🗡️%20전리품%20제작!A1" display="전리품 제작"/>
    <hyperlink ref="B43" r:id="rId40" location="🗡️%20전리품%20제작!A1" display="전리품 제작"/>
    <hyperlink ref="B44" r:id="rId41" location="🗡️%20전리품%20제작!A1" display="전리품 제작"/>
    <hyperlink ref="B45" r:id="rId42" location="🗡️%20전리품%20제작!A1" display="전리품 제작"/>
    <hyperlink ref="B46" r:id="rId43" location="🗡️%20전리품%20제작!A1" display="전리품 제작"/>
    <hyperlink ref="B47" r:id="rId44" location="🗡️%20전리품%20제작!A1" display="전리품 제작"/>
    <hyperlink ref="B48" r:id="rId45" location="🗡️%20전리품%20제작!A1" display="전리품 제작"/>
    <hyperlink ref="B49" r:id="rId46" location="🗡️%20전리품%20제작!A1" display="전리품 제작"/>
    <hyperlink ref="B50" r:id="rId47" location="🗡️%20전리품%20제작!A1" display="전리품 제작"/>
    <hyperlink ref="B51" r:id="rId48" location="🗡️%20전리품%20제작!A1" display="전리품 제작"/>
    <hyperlink ref="B52" r:id="rId49" location="🏰%20던전%20코어%20제작!A1" display="던전 코어 제작"/>
    <hyperlink ref="B53" r:id="rId50" location="🏰%20던전%20코어%20제작!A1" display="던전 코어 제작"/>
    <hyperlink ref="B54" r:id="rId51" location="🏰%20던전%20코어%20제작!A1" display="던전 코어 제작"/>
    <hyperlink ref="B55" r:id="rId52" location="🏰%20던전%20코어%20제작!A1" display="던전 코어 제작"/>
    <hyperlink ref="B56" r:id="rId53" location="🏰%20던전%20코어%20제작!A1" display="던전 코어 제작"/>
    <hyperlink ref="B57" r:id="rId54" location="🏰%20던전%20코어%20제작!A1" display="던전 코어 제작"/>
    <hyperlink ref="B58" r:id="rId55" location="🏰%20던전%20코어%20제작!A1" display="던전 코어 제작"/>
    <hyperlink ref="B59" r:id="rId56" location="🏰%20던전%20코어%20제작!A1" display="던전 코어 제작"/>
    <hyperlink ref="B60" r:id="rId57" location="🏰%20던전%20코어%20제작!A1" display="던전 코어 제작"/>
    <hyperlink ref="B61" r:id="rId58" location="🏰%20던전%20코어%20제작!A1" display="던전 코어 제작"/>
    <hyperlink ref="B62" r:id="rId59" location="🏰%20던전%20코어%20제작!A1" display="던전 코어 제작"/>
    <hyperlink ref="B63" r:id="rId60" location="🏰%20던전%20코어%20제작!A1" display="던전 코어 제작"/>
    <hyperlink ref="B64" r:id="rId61" location="🎲%20드랍률%20설계!A1" display="보스 드랍"/>
    <hyperlink ref="B65" r:id="rId62" location="🎲%20드랍률%20설계!A1" display="보스 드랍"/>
    <hyperlink ref="B66" r:id="rId63" location="🎲%20드랍률%20설계!A1" display="보스 드랍"/>
    <hyperlink ref="B67" r:id="rId64" location="🎲%20드랍률%20설계!A1" display="보스 드랍"/>
    <hyperlink ref="B68" r:id="rId65" location="🎲%20드랍률%20설계!A1" display="보스 드랍"/>
    <hyperlink ref="B69" r:id="rId66" location="🎲%20드랍률%20설계!A1" display="보스 드랍"/>
    <hyperlink ref="B70" r:id="rId67" location="🎲%20드랍률%20설계!A1" display="보스 드랍"/>
    <hyperlink ref="B71" r:id="rId68" location="🎲%20드랍률%20설계!A1" display="보스 드랍"/>
    <hyperlink ref="B72" r:id="rId69" location="🎲%20드랍률%20설계!A1" display="보스 드랍"/>
    <hyperlink ref="B73" r:id="rId70" location="🎲%20드랍률%20설계!A1" display="보스 드랍"/>
    <hyperlink ref="B74" r:id="rId71" location="🎲%20드랍률%20설계!A1" display="보스 드랍"/>
    <hyperlink ref="B75" r:id="rId72" location="🎲%20드랍률%20설계!A1" display="보스 드랍"/>
    <hyperlink ref="B76" r:id="rId73" location="🎲%20드랍률%20설계!A1" display="보스 드랍"/>
    <hyperlink ref="B77" r:id="rId74" location="🎲%20드랍률%20설계!A1" display="보스 드랍"/>
    <hyperlink ref="B78" r:id="rId75" location="🎲%20드랍률%20설계!A1" display="보스 드랍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4" activeCellId="0" sqref="I14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3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17"/>
    <col collapsed="false" customWidth="true" hidden="false" outlineLevel="0" max="11" min="11" style="0" width="18"/>
    <col collapsed="false" customWidth="true" hidden="false" outlineLevel="0" max="12" min="12" style="0" width="26"/>
  </cols>
  <sheetData>
    <row r="1" customFormat="false" ht="27.75" hidden="false" customHeight="true" outlineLevel="0" collapsed="false">
      <c r="A1" s="42" t="s">
        <v>177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82" t="s">
        <v>41</v>
      </c>
    </row>
    <row r="2" customFormat="false" ht="15.75" hidden="false" customHeight="true" outlineLevel="0" collapsed="false">
      <c r="A2" s="45" t="s">
        <v>178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</row>
    <row r="3" customFormat="false" ht="36" hidden="false" customHeight="true" outlineLevel="0" collapsed="false">
      <c r="A3" s="46" t="s">
        <v>71</v>
      </c>
      <c r="B3" s="46" t="s">
        <v>179</v>
      </c>
      <c r="C3" s="46" t="s">
        <v>180</v>
      </c>
      <c r="D3" s="46" t="s">
        <v>181</v>
      </c>
      <c r="E3" s="46"/>
      <c r="F3" s="46" t="s">
        <v>74</v>
      </c>
      <c r="G3" s="46"/>
      <c r="H3" s="46" t="s">
        <v>76</v>
      </c>
      <c r="I3" s="46" t="s">
        <v>182</v>
      </c>
      <c r="J3" s="83" t="s">
        <v>183</v>
      </c>
      <c r="K3" s="84" t="s">
        <v>184</v>
      </c>
      <c r="L3" s="46" t="s">
        <v>130</v>
      </c>
    </row>
    <row r="4" customFormat="false" ht="21.75" hidden="false" customHeight="true" outlineLevel="0" collapsed="false">
      <c r="A4" s="46"/>
      <c r="B4" s="46"/>
      <c r="C4" s="46"/>
      <c r="D4" s="47" t="s">
        <v>78</v>
      </c>
      <c r="E4" s="47" t="s">
        <v>79</v>
      </c>
      <c r="F4" s="47" t="s">
        <v>78</v>
      </c>
      <c r="G4" s="47" t="s">
        <v>79</v>
      </c>
      <c r="H4" s="46"/>
      <c r="I4" s="46"/>
      <c r="J4" s="85" t="s">
        <v>185</v>
      </c>
      <c r="K4" s="86" t="s">
        <v>185</v>
      </c>
      <c r="L4" s="46"/>
    </row>
    <row r="5" customFormat="false" ht="21.75" hidden="false" customHeight="true" outlineLevel="0" collapsed="false">
      <c r="A5" s="49" t="s">
        <v>80</v>
      </c>
      <c r="B5" s="50" t="s">
        <v>81</v>
      </c>
      <c r="C5" s="50" t="s">
        <v>82</v>
      </c>
      <c r="D5" s="50" t="n">
        <v>5</v>
      </c>
      <c r="E5" s="50" t="n">
        <v>10</v>
      </c>
      <c r="F5" s="50" t="s">
        <v>83</v>
      </c>
      <c r="G5" s="50" t="s">
        <v>83</v>
      </c>
      <c r="H5" s="50" t="n">
        <v>50</v>
      </c>
      <c r="I5" s="50" t="s">
        <v>186</v>
      </c>
      <c r="J5" s="87" t="s">
        <v>187</v>
      </c>
      <c r="K5" s="88" t="s">
        <v>188</v>
      </c>
      <c r="L5" s="51" t="s">
        <v>189</v>
      </c>
    </row>
    <row r="6" customFormat="false" ht="21.75" hidden="false" customHeight="true" outlineLevel="0" collapsed="false">
      <c r="A6" s="49" t="s">
        <v>85</v>
      </c>
      <c r="B6" s="52" t="s">
        <v>86</v>
      </c>
      <c r="C6" s="52" t="s">
        <v>87</v>
      </c>
      <c r="D6" s="52" t="n">
        <v>14</v>
      </c>
      <c r="E6" s="52" t="n">
        <v>28</v>
      </c>
      <c r="F6" s="52" t="n">
        <v>60</v>
      </c>
      <c r="G6" s="52" t="n">
        <v>120</v>
      </c>
      <c r="H6" s="52" t="n">
        <v>140</v>
      </c>
      <c r="I6" s="52" t="s">
        <v>190</v>
      </c>
      <c r="J6" s="87" t="s">
        <v>187</v>
      </c>
      <c r="K6" s="88" t="s">
        <v>191</v>
      </c>
      <c r="L6" s="89" t="s">
        <v>192</v>
      </c>
    </row>
    <row r="7" customFormat="false" ht="21.75" hidden="false" customHeight="true" outlineLevel="0" collapsed="false">
      <c r="A7" s="49" t="s">
        <v>89</v>
      </c>
      <c r="B7" s="50" t="s">
        <v>90</v>
      </c>
      <c r="C7" s="50" t="s">
        <v>91</v>
      </c>
      <c r="D7" s="50" t="n">
        <v>24</v>
      </c>
      <c r="E7" s="50" t="n">
        <v>48</v>
      </c>
      <c r="F7" s="50" t="n">
        <v>180</v>
      </c>
      <c r="G7" s="50" t="n">
        <v>360</v>
      </c>
      <c r="H7" s="50" t="n">
        <v>240</v>
      </c>
      <c r="I7" s="50" t="s">
        <v>193</v>
      </c>
      <c r="J7" s="87" t="s">
        <v>187</v>
      </c>
      <c r="K7" s="88" t="s">
        <v>194</v>
      </c>
      <c r="L7" s="90" t="s">
        <v>195</v>
      </c>
    </row>
    <row r="8" customFormat="false" ht="21.75" hidden="false" customHeight="true" outlineLevel="0" collapsed="false">
      <c r="A8" s="49" t="s">
        <v>93</v>
      </c>
      <c r="B8" s="52" t="s">
        <v>94</v>
      </c>
      <c r="C8" s="52" t="s">
        <v>95</v>
      </c>
      <c r="D8" s="52" t="n">
        <v>58</v>
      </c>
      <c r="E8" s="52" t="n">
        <v>116</v>
      </c>
      <c r="F8" s="52" t="n">
        <v>900</v>
      </c>
      <c r="G8" s="52" t="n">
        <v>1800</v>
      </c>
      <c r="H8" s="52" t="n">
        <v>580</v>
      </c>
      <c r="I8" s="52" t="s">
        <v>196</v>
      </c>
      <c r="J8" s="91" t="s">
        <v>197</v>
      </c>
      <c r="K8" s="88" t="s">
        <v>198</v>
      </c>
      <c r="L8" s="89" t="s">
        <v>199</v>
      </c>
    </row>
    <row r="9" customFormat="false" ht="21.75" hidden="false" customHeight="true" outlineLevel="0" collapsed="false">
      <c r="A9" s="49" t="s">
        <v>97</v>
      </c>
      <c r="B9" s="50" t="s">
        <v>98</v>
      </c>
      <c r="C9" s="50" t="s">
        <v>99</v>
      </c>
      <c r="D9" s="50" t="n">
        <v>117</v>
      </c>
      <c r="E9" s="50" t="n">
        <v>234</v>
      </c>
      <c r="F9" s="50" t="n">
        <v>4500</v>
      </c>
      <c r="G9" s="50" t="n">
        <v>9000</v>
      </c>
      <c r="H9" s="50" t="n">
        <v>1170</v>
      </c>
      <c r="I9" s="50" t="s">
        <v>200</v>
      </c>
      <c r="J9" s="91" t="s">
        <v>201</v>
      </c>
      <c r="K9" s="88" t="s">
        <v>202</v>
      </c>
      <c r="L9" s="90" t="s">
        <v>203</v>
      </c>
    </row>
    <row r="10" customFormat="false" ht="21.75" hidden="false" customHeight="true" outlineLevel="0" collapsed="false">
      <c r="A10" s="49" t="s">
        <v>101</v>
      </c>
      <c r="B10" s="52" t="s">
        <v>102</v>
      </c>
      <c r="C10" s="52" t="s">
        <v>103</v>
      </c>
      <c r="D10" s="52" t="n">
        <v>196</v>
      </c>
      <c r="E10" s="52" t="n">
        <v>391</v>
      </c>
      <c r="F10" s="52" t="n">
        <v>22500</v>
      </c>
      <c r="G10" s="52" t="n">
        <v>45000</v>
      </c>
      <c r="H10" s="52" t="n">
        <v>1960</v>
      </c>
      <c r="I10" s="52" t="s">
        <v>204</v>
      </c>
      <c r="J10" s="91" t="s">
        <v>205</v>
      </c>
      <c r="K10" s="88" t="s">
        <v>206</v>
      </c>
      <c r="L10" s="89" t="s">
        <v>207</v>
      </c>
    </row>
    <row r="11" customFormat="false" ht="21.75" hidden="false" customHeight="true" outlineLevel="0" collapsed="false">
      <c r="A11" s="49" t="s">
        <v>105</v>
      </c>
      <c r="B11" s="50" t="s">
        <v>106</v>
      </c>
      <c r="C11" s="50" t="s">
        <v>107</v>
      </c>
      <c r="D11" s="50" t="n">
        <v>273</v>
      </c>
      <c r="E11" s="50" t="n">
        <v>546</v>
      </c>
      <c r="F11" s="50" t="n">
        <v>112500</v>
      </c>
      <c r="G11" s="50" t="n">
        <v>225000</v>
      </c>
      <c r="H11" s="50" t="n">
        <v>2730</v>
      </c>
      <c r="I11" s="50" t="s">
        <v>208</v>
      </c>
      <c r="J11" s="91" t="s">
        <v>209</v>
      </c>
      <c r="K11" s="88" t="s">
        <v>210</v>
      </c>
      <c r="L11" s="90" t="s">
        <v>211</v>
      </c>
    </row>
  </sheetData>
  <mergeCells count="10">
    <mergeCell ref="A1:K1"/>
    <mergeCell ref="A2:L2"/>
    <mergeCell ref="A3:A4"/>
    <mergeCell ref="B3:B4"/>
    <mergeCell ref="C3:C4"/>
    <mergeCell ref="D3:E3"/>
    <mergeCell ref="F3:G3"/>
    <mergeCell ref="H3:H4"/>
    <mergeCell ref="I3:I4"/>
    <mergeCell ref="L3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5"/>
    <col collapsed="false" customWidth="true" hidden="false" outlineLevel="0" max="7" min="6" style="0" width="13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17"/>
    <col collapsed="false" customWidth="true" hidden="false" outlineLevel="0" max="11" min="11" style="0" width="18"/>
    <col collapsed="false" customWidth="true" hidden="false" outlineLevel="0" max="12" min="12" style="0" width="24"/>
    <col collapsed="false" customWidth="true" hidden="false" outlineLevel="0" max="13" min="13" style="0" width="10"/>
  </cols>
  <sheetData>
    <row r="1" customFormat="false" ht="27.75" hidden="false" customHeight="true" outlineLevel="0" collapsed="false">
      <c r="A1" s="92" t="s">
        <v>212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82" t="s">
        <v>41</v>
      </c>
    </row>
    <row r="2" customFormat="false" ht="15.75" hidden="false" customHeight="true" outlineLevel="0" collapsed="false">
      <c r="A2" s="93" t="s">
        <v>213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</row>
    <row r="3" customFormat="false" ht="36" hidden="false" customHeight="true" outlineLevel="0" collapsed="false">
      <c r="A3" s="94" t="s">
        <v>71</v>
      </c>
      <c r="B3" s="94" t="s">
        <v>214</v>
      </c>
      <c r="C3" s="94" t="s">
        <v>181</v>
      </c>
      <c r="D3" s="94"/>
      <c r="E3" s="94" t="s">
        <v>215</v>
      </c>
      <c r="F3" s="94" t="s">
        <v>216</v>
      </c>
      <c r="G3" s="94" t="s">
        <v>217</v>
      </c>
      <c r="H3" s="94" t="s">
        <v>218</v>
      </c>
      <c r="I3" s="94" t="s">
        <v>219</v>
      </c>
      <c r="J3" s="83" t="s">
        <v>183</v>
      </c>
      <c r="K3" s="84" t="s">
        <v>184</v>
      </c>
      <c r="L3" s="94" t="s">
        <v>130</v>
      </c>
    </row>
    <row r="4" customFormat="false" ht="21.75" hidden="false" customHeight="true" outlineLevel="0" collapsed="false">
      <c r="A4" s="94"/>
      <c r="B4" s="94"/>
      <c r="C4" s="47" t="s">
        <v>78</v>
      </c>
      <c r="D4" s="47" t="s">
        <v>79</v>
      </c>
      <c r="E4" s="94"/>
      <c r="F4" s="94"/>
      <c r="G4" s="94"/>
      <c r="H4" s="94"/>
      <c r="I4" s="94"/>
      <c r="J4" s="85" t="s">
        <v>185</v>
      </c>
      <c r="K4" s="86" t="s">
        <v>185</v>
      </c>
      <c r="L4" s="94"/>
    </row>
    <row r="5" customFormat="false" ht="21.75" hidden="false" customHeight="true" outlineLevel="0" collapsed="false">
      <c r="A5" s="95" t="s">
        <v>80</v>
      </c>
      <c r="B5" s="50" t="s">
        <v>83</v>
      </c>
      <c r="C5" s="50" t="n">
        <v>5</v>
      </c>
      <c r="D5" s="50" t="n">
        <v>10</v>
      </c>
      <c r="E5" s="50" t="s">
        <v>83</v>
      </c>
      <c r="F5" s="50" t="s">
        <v>83</v>
      </c>
      <c r="G5" s="50" t="s">
        <v>220</v>
      </c>
      <c r="H5" s="50" t="s">
        <v>220</v>
      </c>
      <c r="I5" s="50" t="s">
        <v>186</v>
      </c>
      <c r="J5" s="87" t="s">
        <v>187</v>
      </c>
      <c r="K5" s="88" t="s">
        <v>188</v>
      </c>
      <c r="L5" s="51" t="s">
        <v>221</v>
      </c>
    </row>
    <row r="6" customFormat="false" ht="21.75" hidden="false" customHeight="true" outlineLevel="0" collapsed="false">
      <c r="A6" s="95" t="s">
        <v>85</v>
      </c>
      <c r="B6" s="52" t="s">
        <v>222</v>
      </c>
      <c r="C6" s="52" t="n">
        <v>14</v>
      </c>
      <c r="D6" s="52" t="n">
        <v>28</v>
      </c>
      <c r="E6" s="52" t="n">
        <v>3</v>
      </c>
      <c r="F6" s="52" t="n">
        <v>1</v>
      </c>
      <c r="G6" s="52" t="s">
        <v>223</v>
      </c>
      <c r="H6" s="52" t="s">
        <v>224</v>
      </c>
      <c r="I6" s="52" t="s">
        <v>190</v>
      </c>
      <c r="J6" s="87" t="s">
        <v>187</v>
      </c>
      <c r="K6" s="88" t="s">
        <v>191</v>
      </c>
      <c r="L6" s="89" t="s">
        <v>225</v>
      </c>
    </row>
    <row r="7" customFormat="false" ht="21.75" hidden="false" customHeight="true" outlineLevel="0" collapsed="false">
      <c r="A7" s="95" t="s">
        <v>89</v>
      </c>
      <c r="B7" s="50" t="s">
        <v>226</v>
      </c>
      <c r="C7" s="50" t="n">
        <v>24</v>
      </c>
      <c r="D7" s="50" t="n">
        <v>48</v>
      </c>
      <c r="E7" s="50" t="n">
        <v>15</v>
      </c>
      <c r="F7" s="50" t="n">
        <v>3</v>
      </c>
      <c r="G7" s="50" t="s">
        <v>227</v>
      </c>
      <c r="H7" s="50" t="s">
        <v>224</v>
      </c>
      <c r="I7" s="50" t="s">
        <v>193</v>
      </c>
      <c r="J7" s="87" t="s">
        <v>187</v>
      </c>
      <c r="K7" s="88" t="s">
        <v>194</v>
      </c>
      <c r="L7" s="90" t="s">
        <v>228</v>
      </c>
    </row>
    <row r="8" customFormat="false" ht="21.75" hidden="false" customHeight="true" outlineLevel="0" collapsed="false">
      <c r="A8" s="95" t="s">
        <v>93</v>
      </c>
      <c r="B8" s="52" t="s">
        <v>229</v>
      </c>
      <c r="C8" s="52" t="n">
        <v>58</v>
      </c>
      <c r="D8" s="52" t="n">
        <v>116</v>
      </c>
      <c r="E8" s="52" t="n">
        <v>45</v>
      </c>
      <c r="F8" s="52" t="n">
        <v>9</v>
      </c>
      <c r="G8" s="52" t="s">
        <v>230</v>
      </c>
      <c r="H8" s="52" t="s">
        <v>224</v>
      </c>
      <c r="I8" s="52" t="s">
        <v>196</v>
      </c>
      <c r="J8" s="91" t="s">
        <v>197</v>
      </c>
      <c r="K8" s="88" t="s">
        <v>198</v>
      </c>
      <c r="L8" s="53" t="s">
        <v>231</v>
      </c>
    </row>
    <row r="9" customFormat="false" ht="21.75" hidden="false" customHeight="true" outlineLevel="0" collapsed="false">
      <c r="A9" s="95" t="s">
        <v>97</v>
      </c>
      <c r="B9" s="50" t="s">
        <v>232</v>
      </c>
      <c r="C9" s="50" t="n">
        <v>117</v>
      </c>
      <c r="D9" s="50" t="n">
        <v>234</v>
      </c>
      <c r="E9" s="50" t="n">
        <v>150</v>
      </c>
      <c r="F9" s="50" t="n">
        <v>30</v>
      </c>
      <c r="G9" s="50" t="s">
        <v>233</v>
      </c>
      <c r="H9" s="50" t="s">
        <v>224</v>
      </c>
      <c r="I9" s="50" t="s">
        <v>200</v>
      </c>
      <c r="J9" s="91" t="s">
        <v>201</v>
      </c>
      <c r="K9" s="88" t="s">
        <v>202</v>
      </c>
      <c r="L9" s="51" t="s">
        <v>234</v>
      </c>
    </row>
    <row r="10" customFormat="false" ht="21.75" hidden="false" customHeight="true" outlineLevel="0" collapsed="false">
      <c r="A10" s="95" t="s">
        <v>101</v>
      </c>
      <c r="B10" s="52" t="s">
        <v>235</v>
      </c>
      <c r="C10" s="52" t="n">
        <v>196</v>
      </c>
      <c r="D10" s="52" t="n">
        <v>391</v>
      </c>
      <c r="E10" s="52" t="n">
        <v>450</v>
      </c>
      <c r="F10" s="52" t="n">
        <v>90</v>
      </c>
      <c r="G10" s="52" t="s">
        <v>236</v>
      </c>
      <c r="H10" s="52" t="s">
        <v>224</v>
      </c>
      <c r="I10" s="52" t="s">
        <v>204</v>
      </c>
      <c r="J10" s="91" t="s">
        <v>205</v>
      </c>
      <c r="K10" s="88" t="s">
        <v>206</v>
      </c>
      <c r="L10" s="53" t="s">
        <v>237</v>
      </c>
    </row>
    <row r="11" customFormat="false" ht="21.75" hidden="false" customHeight="true" outlineLevel="0" collapsed="false">
      <c r="A11" s="95" t="s">
        <v>105</v>
      </c>
      <c r="B11" s="50" t="s">
        <v>238</v>
      </c>
      <c r="C11" s="50" t="n">
        <v>273</v>
      </c>
      <c r="D11" s="50" t="n">
        <v>546</v>
      </c>
      <c r="E11" s="50" t="n">
        <v>1500</v>
      </c>
      <c r="F11" s="50" t="n">
        <v>300</v>
      </c>
      <c r="G11" s="50" t="s">
        <v>239</v>
      </c>
      <c r="H11" s="50" t="s">
        <v>224</v>
      </c>
      <c r="I11" s="50" t="s">
        <v>208</v>
      </c>
      <c r="J11" s="91" t="s">
        <v>209</v>
      </c>
      <c r="K11" s="88" t="s">
        <v>210</v>
      </c>
      <c r="L11" s="51" t="s">
        <v>240</v>
      </c>
    </row>
    <row r="12" customFormat="false" ht="7.5" hidden="false" customHeight="true" outlineLevel="0" collapsed="false">
      <c r="A12" s="44"/>
      <c r="B12" s="44"/>
      <c r="C12" s="44"/>
      <c r="D12" s="44"/>
      <c r="E12" s="44"/>
      <c r="F12" s="44"/>
      <c r="G12" s="44"/>
      <c r="H12" s="44"/>
      <c r="I12" s="44"/>
      <c r="J12" s="44"/>
    </row>
    <row r="13" customFormat="false" ht="19.5" hidden="false" customHeight="true" outlineLevel="0" collapsed="false">
      <c r="A13" s="54" t="s">
        <v>241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</row>
    <row r="14" customFormat="false" ht="18" hidden="false" customHeight="true" outlineLevel="0" collapsed="false">
      <c r="A14" s="96" t="s">
        <v>242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</row>
    <row r="15" customFormat="false" ht="18" hidden="false" customHeight="true" outlineLevel="0" collapsed="false">
      <c r="A15" s="96" t="s">
        <v>243</v>
      </c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</row>
    <row r="16" customFormat="false" ht="18" hidden="false" customHeight="true" outlineLevel="0" collapsed="false">
      <c r="A16" s="96" t="s">
        <v>244</v>
      </c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</row>
  </sheetData>
  <mergeCells count="15">
    <mergeCell ref="A1:L1"/>
    <mergeCell ref="A2:M2"/>
    <mergeCell ref="A3:A4"/>
    <mergeCell ref="B3:B4"/>
    <mergeCell ref="C3:D3"/>
    <mergeCell ref="E3:E4"/>
    <mergeCell ref="F3:F4"/>
    <mergeCell ref="G3:G4"/>
    <mergeCell ref="H3:H4"/>
    <mergeCell ref="I3:I4"/>
    <mergeCell ref="L3:L4"/>
    <mergeCell ref="A13:L13"/>
    <mergeCell ref="A14:L14"/>
    <mergeCell ref="A15:L15"/>
    <mergeCell ref="A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1" min="10" style="0" width="18"/>
  </cols>
  <sheetData>
    <row r="1" customFormat="false" ht="33.75" hidden="false" customHeight="true" outlineLevel="0" collapsed="false">
      <c r="A1" s="97" t="s">
        <v>245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customFormat="false" ht="18" hidden="false" customHeight="true" outlineLevel="0" collapsed="false">
      <c r="A2" s="98" t="s">
        <v>246</v>
      </c>
      <c r="B2" s="98"/>
      <c r="C2" s="98"/>
      <c r="D2" s="98"/>
      <c r="E2" s="98"/>
      <c r="F2" s="98"/>
      <c r="G2" s="98"/>
      <c r="H2" s="98"/>
      <c r="I2" s="98"/>
      <c r="J2" s="98"/>
      <c r="K2" s="98"/>
    </row>
    <row r="3" customFormat="false" ht="6" hidden="false" customHeight="true" outlineLevel="0" collapsed="false"/>
    <row r="4" customFormat="false" ht="19.5" hidden="false" customHeight="true" outlineLevel="0" collapsed="false">
      <c r="A4" s="99" t="s">
        <v>247</v>
      </c>
      <c r="B4" s="99"/>
      <c r="C4" s="99"/>
    </row>
    <row r="5" customFormat="false" ht="18" hidden="false" customHeight="true" outlineLevel="0" collapsed="false">
      <c r="A5" s="100" t="s">
        <v>248</v>
      </c>
      <c r="B5" s="101" t="s">
        <v>249</v>
      </c>
      <c r="C5" s="102" t="s">
        <v>250</v>
      </c>
      <c r="D5" s="103"/>
      <c r="E5" s="103"/>
      <c r="F5" s="103"/>
      <c r="G5" s="103"/>
      <c r="H5" s="103"/>
      <c r="I5" s="103"/>
      <c r="J5" s="103"/>
      <c r="K5" s="103"/>
    </row>
    <row r="6" customFormat="false" ht="18" hidden="false" customHeight="true" outlineLevel="0" collapsed="false">
      <c r="A6" s="104" t="s">
        <v>251</v>
      </c>
      <c r="B6" s="105" t="s">
        <v>252</v>
      </c>
      <c r="C6" s="106" t="s">
        <v>253</v>
      </c>
      <c r="D6" s="107"/>
      <c r="E6" s="107"/>
      <c r="F6" s="107"/>
      <c r="G6" s="107"/>
      <c r="H6" s="107"/>
      <c r="I6" s="107"/>
      <c r="J6" s="107"/>
      <c r="K6" s="107"/>
    </row>
    <row r="8" customFormat="false" ht="21.75" hidden="false" customHeight="true" outlineLevel="0" collapsed="false">
      <c r="A8" s="108" t="s">
        <v>254</v>
      </c>
      <c r="B8" s="108"/>
      <c r="C8" s="108"/>
      <c r="D8" s="108"/>
      <c r="E8" s="108"/>
      <c r="F8" s="108"/>
      <c r="G8" s="108"/>
      <c r="H8" s="108"/>
      <c r="I8" s="108"/>
      <c r="J8" s="108"/>
      <c r="K8" s="108"/>
    </row>
    <row r="9" customFormat="false" ht="27.75" hidden="false" customHeight="true" outlineLevel="0" collapsed="false">
      <c r="A9" s="109" t="s">
        <v>71</v>
      </c>
      <c r="B9" s="109" t="s">
        <v>255</v>
      </c>
      <c r="C9" s="109" t="s">
        <v>256</v>
      </c>
      <c r="D9" s="109"/>
      <c r="E9" s="109" t="s">
        <v>257</v>
      </c>
      <c r="F9" s="109"/>
      <c r="G9" s="109"/>
      <c r="H9" s="109" t="s">
        <v>258</v>
      </c>
      <c r="I9" s="109"/>
      <c r="J9" s="109"/>
      <c r="K9" s="109" t="s">
        <v>130</v>
      </c>
    </row>
    <row r="10" customFormat="false" ht="27.75" hidden="false" customHeight="true" outlineLevel="0" collapsed="false">
      <c r="A10" s="109"/>
      <c r="B10" s="109"/>
      <c r="C10" s="110" t="s">
        <v>259</v>
      </c>
      <c r="D10" s="110" t="s">
        <v>260</v>
      </c>
      <c r="E10" s="110" t="s">
        <v>261</v>
      </c>
      <c r="F10" s="110" t="s">
        <v>262</v>
      </c>
      <c r="G10" s="110" t="s">
        <v>263</v>
      </c>
      <c r="H10" s="110" t="s">
        <v>261</v>
      </c>
      <c r="I10" s="110" t="s">
        <v>262</v>
      </c>
      <c r="J10" s="110" t="s">
        <v>263</v>
      </c>
      <c r="K10" s="109"/>
    </row>
    <row r="11" customFormat="false" ht="21" hidden="false" customHeight="true" outlineLevel="0" collapsed="false">
      <c r="A11" s="111" t="s">
        <v>80</v>
      </c>
      <c r="B11" s="112" t="n">
        <v>3</v>
      </c>
      <c r="C11" s="112" t="n">
        <v>50</v>
      </c>
      <c r="D11" s="112" t="s">
        <v>264</v>
      </c>
      <c r="E11" s="105" t="s">
        <v>252</v>
      </c>
      <c r="F11" s="105" t="s">
        <v>265</v>
      </c>
      <c r="G11" s="113" t="s">
        <v>266</v>
      </c>
      <c r="H11" s="106" t="s">
        <v>253</v>
      </c>
      <c r="I11" s="106" t="s">
        <v>267</v>
      </c>
      <c r="J11" s="114" t="s">
        <v>266</v>
      </c>
      <c r="K11" s="115" t="s">
        <v>268</v>
      </c>
    </row>
    <row r="12" customFormat="false" ht="21" hidden="false" customHeight="true" outlineLevel="0" collapsed="false">
      <c r="A12" s="111" t="s">
        <v>85</v>
      </c>
      <c r="B12" s="116" t="n">
        <v>4.32</v>
      </c>
      <c r="C12" s="116" t="n">
        <v>140</v>
      </c>
      <c r="D12" s="116" t="s">
        <v>269</v>
      </c>
      <c r="E12" s="105" t="s">
        <v>252</v>
      </c>
      <c r="F12" s="105" t="s">
        <v>270</v>
      </c>
      <c r="G12" s="113" t="s">
        <v>271</v>
      </c>
      <c r="H12" s="106" t="s">
        <v>253</v>
      </c>
      <c r="I12" s="106" t="s">
        <v>272</v>
      </c>
      <c r="J12" s="114" t="s">
        <v>271</v>
      </c>
      <c r="K12" s="117" t="s">
        <v>273</v>
      </c>
    </row>
    <row r="13" customFormat="false" ht="21" hidden="false" customHeight="true" outlineLevel="0" collapsed="false">
      <c r="A13" s="111" t="s">
        <v>89</v>
      </c>
      <c r="B13" s="115" t="n">
        <v>7.46</v>
      </c>
      <c r="C13" s="115" t="n">
        <v>240</v>
      </c>
      <c r="D13" s="112" t="s">
        <v>274</v>
      </c>
      <c r="E13" s="105" t="s">
        <v>252</v>
      </c>
      <c r="F13" s="105" t="s">
        <v>275</v>
      </c>
      <c r="G13" s="113" t="s">
        <v>276</v>
      </c>
      <c r="H13" s="106" t="s">
        <v>253</v>
      </c>
      <c r="I13" s="106" t="s">
        <v>277</v>
      </c>
      <c r="J13" s="114" t="s">
        <v>276</v>
      </c>
      <c r="K13" s="115" t="s">
        <v>278</v>
      </c>
    </row>
    <row r="14" customFormat="false" ht="21" hidden="false" customHeight="true" outlineLevel="0" collapsed="false">
      <c r="A14" s="111" t="s">
        <v>93</v>
      </c>
      <c r="B14" s="117" t="n">
        <v>15.48</v>
      </c>
      <c r="C14" s="117" t="n">
        <v>580</v>
      </c>
      <c r="D14" s="116" t="s">
        <v>279</v>
      </c>
      <c r="E14" s="105" t="s">
        <v>252</v>
      </c>
      <c r="F14" s="105" t="s">
        <v>280</v>
      </c>
      <c r="G14" s="118" t="s">
        <v>281</v>
      </c>
      <c r="H14" s="106" t="s">
        <v>253</v>
      </c>
      <c r="I14" s="106" t="s">
        <v>282</v>
      </c>
      <c r="J14" s="119" t="s">
        <v>281</v>
      </c>
      <c r="K14" s="117" t="s">
        <v>283</v>
      </c>
    </row>
    <row r="15" customFormat="false" ht="21" hidden="false" customHeight="true" outlineLevel="0" collapsed="false">
      <c r="A15" s="111" t="s">
        <v>97</v>
      </c>
      <c r="B15" s="115" t="n">
        <v>38.52</v>
      </c>
      <c r="C15" s="115" t="n">
        <v>1170</v>
      </c>
      <c r="D15" s="112" t="s">
        <v>284</v>
      </c>
      <c r="E15" s="105" t="s">
        <v>252</v>
      </c>
      <c r="F15" s="105" t="s">
        <v>285</v>
      </c>
      <c r="G15" s="118" t="s">
        <v>286</v>
      </c>
      <c r="H15" s="106" t="s">
        <v>253</v>
      </c>
      <c r="I15" s="106" t="s">
        <v>287</v>
      </c>
      <c r="J15" s="119" t="s">
        <v>286</v>
      </c>
      <c r="K15" s="115" t="s">
        <v>288</v>
      </c>
    </row>
    <row r="16" customFormat="false" ht="21" hidden="false" customHeight="true" outlineLevel="0" collapsed="false">
      <c r="A16" s="111" t="s">
        <v>101</v>
      </c>
      <c r="B16" s="117" t="n">
        <v>115.01</v>
      </c>
      <c r="C16" s="117" t="n">
        <v>1960</v>
      </c>
      <c r="D16" s="116" t="s">
        <v>289</v>
      </c>
      <c r="E16" s="105" t="s">
        <v>252</v>
      </c>
      <c r="F16" s="105" t="s">
        <v>290</v>
      </c>
      <c r="G16" s="118" t="s">
        <v>291</v>
      </c>
      <c r="H16" s="106" t="s">
        <v>253</v>
      </c>
      <c r="I16" s="106" t="s">
        <v>292</v>
      </c>
      <c r="J16" s="119" t="s">
        <v>291</v>
      </c>
      <c r="K16" s="117" t="s">
        <v>293</v>
      </c>
    </row>
    <row r="17" customFormat="false" ht="21" hidden="false" customHeight="true" outlineLevel="0" collapsed="false">
      <c r="A17" s="111" t="s">
        <v>105</v>
      </c>
      <c r="B17" s="115" t="n">
        <v>412.11</v>
      </c>
      <c r="C17" s="115" t="n">
        <v>2730</v>
      </c>
      <c r="D17" s="112" t="s">
        <v>294</v>
      </c>
      <c r="E17" s="105" t="s">
        <v>252</v>
      </c>
      <c r="F17" s="105" t="s">
        <v>295</v>
      </c>
      <c r="G17" s="118" t="s">
        <v>296</v>
      </c>
      <c r="H17" s="106" t="s">
        <v>253</v>
      </c>
      <c r="I17" s="106" t="s">
        <v>297</v>
      </c>
      <c r="J17" s="119" t="s">
        <v>296</v>
      </c>
      <c r="K17" s="115" t="s">
        <v>298</v>
      </c>
    </row>
    <row r="19" customFormat="false" ht="21.75" hidden="false" customHeight="true" outlineLevel="0" collapsed="false">
      <c r="A19" s="120" t="s">
        <v>299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</row>
    <row r="20" customFormat="false" ht="27.75" hidden="false" customHeight="true" outlineLevel="0" collapsed="false">
      <c r="A20" s="121" t="s">
        <v>71</v>
      </c>
      <c r="B20" s="121" t="s">
        <v>255</v>
      </c>
      <c r="C20" s="121" t="s">
        <v>256</v>
      </c>
      <c r="D20" s="121"/>
      <c r="E20" s="121" t="s">
        <v>257</v>
      </c>
      <c r="F20" s="121"/>
      <c r="G20" s="121"/>
      <c r="H20" s="121" t="s">
        <v>258</v>
      </c>
      <c r="I20" s="121"/>
      <c r="J20" s="121"/>
      <c r="K20" s="121" t="s">
        <v>130</v>
      </c>
    </row>
    <row r="21" customFormat="false" ht="27.75" hidden="false" customHeight="true" outlineLevel="0" collapsed="false">
      <c r="A21" s="121"/>
      <c r="B21" s="121"/>
      <c r="C21" s="122" t="s">
        <v>259</v>
      </c>
      <c r="D21" s="122" t="s">
        <v>260</v>
      </c>
      <c r="E21" s="122" t="s">
        <v>261</v>
      </c>
      <c r="F21" s="122" t="s">
        <v>262</v>
      </c>
      <c r="G21" s="122" t="s">
        <v>263</v>
      </c>
      <c r="H21" s="122" t="s">
        <v>261</v>
      </c>
      <c r="I21" s="122" t="s">
        <v>262</v>
      </c>
      <c r="J21" s="122" t="s">
        <v>263</v>
      </c>
      <c r="K21" s="121"/>
    </row>
    <row r="22" customFormat="false" ht="21" hidden="false" customHeight="true" outlineLevel="0" collapsed="false">
      <c r="A22" s="123" t="s">
        <v>80</v>
      </c>
      <c r="B22" s="115" t="n">
        <v>3</v>
      </c>
      <c r="C22" s="115" t="n">
        <v>100</v>
      </c>
      <c r="D22" s="112" t="s">
        <v>300</v>
      </c>
      <c r="E22" s="105" t="s">
        <v>252</v>
      </c>
      <c r="F22" s="105" t="s">
        <v>301</v>
      </c>
      <c r="G22" s="113" t="s">
        <v>302</v>
      </c>
      <c r="H22" s="106" t="s">
        <v>253</v>
      </c>
      <c r="I22" s="106" t="s">
        <v>303</v>
      </c>
      <c r="J22" s="114" t="s">
        <v>302</v>
      </c>
      <c r="K22" s="115" t="s">
        <v>268</v>
      </c>
    </row>
    <row r="23" customFormat="false" ht="21" hidden="false" customHeight="true" outlineLevel="0" collapsed="false">
      <c r="A23" s="123" t="s">
        <v>85</v>
      </c>
      <c r="B23" s="117" t="n">
        <v>4.32</v>
      </c>
      <c r="C23" s="117" t="n">
        <v>280</v>
      </c>
      <c r="D23" s="116" t="s">
        <v>304</v>
      </c>
      <c r="E23" s="105" t="s">
        <v>252</v>
      </c>
      <c r="F23" s="105" t="s">
        <v>305</v>
      </c>
      <c r="G23" s="113" t="s">
        <v>306</v>
      </c>
      <c r="H23" s="106" t="s">
        <v>253</v>
      </c>
      <c r="I23" s="106" t="s">
        <v>307</v>
      </c>
      <c r="J23" s="114" t="s">
        <v>306</v>
      </c>
      <c r="K23" s="117" t="s">
        <v>273</v>
      </c>
    </row>
    <row r="24" customFormat="false" ht="21" hidden="false" customHeight="true" outlineLevel="0" collapsed="false">
      <c r="A24" s="123" t="s">
        <v>89</v>
      </c>
      <c r="B24" s="115" t="n">
        <v>7.46</v>
      </c>
      <c r="C24" s="115" t="n">
        <v>480</v>
      </c>
      <c r="D24" s="112" t="s">
        <v>308</v>
      </c>
      <c r="E24" s="105" t="s">
        <v>252</v>
      </c>
      <c r="F24" s="105" t="s">
        <v>309</v>
      </c>
      <c r="G24" s="113" t="s">
        <v>310</v>
      </c>
      <c r="H24" s="106" t="s">
        <v>253</v>
      </c>
      <c r="I24" s="106" t="s">
        <v>311</v>
      </c>
      <c r="J24" s="114" t="s">
        <v>310</v>
      </c>
      <c r="K24" s="115" t="s">
        <v>278</v>
      </c>
    </row>
    <row r="25" customFormat="false" ht="21" hidden="false" customHeight="true" outlineLevel="0" collapsed="false">
      <c r="A25" s="123" t="s">
        <v>93</v>
      </c>
      <c r="B25" s="117" t="n">
        <v>15.48</v>
      </c>
      <c r="C25" s="117" t="n">
        <v>1160</v>
      </c>
      <c r="D25" s="116" t="s">
        <v>312</v>
      </c>
      <c r="E25" s="105" t="s">
        <v>252</v>
      </c>
      <c r="F25" s="105" t="s">
        <v>313</v>
      </c>
      <c r="G25" s="118" t="s">
        <v>314</v>
      </c>
      <c r="H25" s="106" t="s">
        <v>253</v>
      </c>
      <c r="I25" s="106" t="s">
        <v>315</v>
      </c>
      <c r="J25" s="119" t="s">
        <v>314</v>
      </c>
      <c r="K25" s="117" t="s">
        <v>283</v>
      </c>
    </row>
    <row r="26" customFormat="false" ht="21" hidden="false" customHeight="true" outlineLevel="0" collapsed="false">
      <c r="A26" s="123" t="s">
        <v>97</v>
      </c>
      <c r="B26" s="115" t="n">
        <v>38.52</v>
      </c>
      <c r="C26" s="115" t="n">
        <v>2340</v>
      </c>
      <c r="D26" s="112" t="s">
        <v>303</v>
      </c>
      <c r="E26" s="105" t="s">
        <v>252</v>
      </c>
      <c r="F26" s="105" t="s">
        <v>316</v>
      </c>
      <c r="G26" s="118" t="s">
        <v>317</v>
      </c>
      <c r="H26" s="106" t="s">
        <v>253</v>
      </c>
      <c r="I26" s="106" t="s">
        <v>318</v>
      </c>
      <c r="J26" s="119" t="s">
        <v>317</v>
      </c>
      <c r="K26" s="115" t="s">
        <v>288</v>
      </c>
    </row>
    <row r="27" customFormat="false" ht="21" hidden="false" customHeight="true" outlineLevel="0" collapsed="false">
      <c r="A27" s="123" t="s">
        <v>101</v>
      </c>
      <c r="B27" s="117" t="n">
        <v>115.01</v>
      </c>
      <c r="C27" s="117" t="n">
        <v>3910</v>
      </c>
      <c r="D27" s="116" t="s">
        <v>319</v>
      </c>
      <c r="E27" s="105" t="s">
        <v>252</v>
      </c>
      <c r="F27" s="105" t="s">
        <v>320</v>
      </c>
      <c r="G27" s="118" t="s">
        <v>321</v>
      </c>
      <c r="H27" s="106" t="s">
        <v>253</v>
      </c>
      <c r="I27" s="106" t="s">
        <v>322</v>
      </c>
      <c r="J27" s="119" t="s">
        <v>321</v>
      </c>
      <c r="K27" s="117" t="s">
        <v>293</v>
      </c>
    </row>
    <row r="28" customFormat="false" ht="21" hidden="false" customHeight="true" outlineLevel="0" collapsed="false">
      <c r="A28" s="123" t="s">
        <v>105</v>
      </c>
      <c r="B28" s="115" t="n">
        <v>412.11</v>
      </c>
      <c r="C28" s="115" t="n">
        <v>5460</v>
      </c>
      <c r="D28" s="112" t="s">
        <v>323</v>
      </c>
      <c r="E28" s="105" t="s">
        <v>252</v>
      </c>
      <c r="F28" s="105" t="s">
        <v>324</v>
      </c>
      <c r="G28" s="118" t="s">
        <v>325</v>
      </c>
      <c r="H28" s="106" t="s">
        <v>253</v>
      </c>
      <c r="I28" s="106" t="s">
        <v>326</v>
      </c>
      <c r="J28" s="119" t="s">
        <v>325</v>
      </c>
      <c r="K28" s="115" t="s">
        <v>298</v>
      </c>
    </row>
    <row r="30" customFormat="false" ht="21.75" hidden="false" customHeight="true" outlineLevel="0" collapsed="false">
      <c r="A30" s="124" t="s">
        <v>327</v>
      </c>
      <c r="B30" s="124"/>
      <c r="C30" s="124"/>
      <c r="D30" s="124"/>
      <c r="E30" s="124"/>
      <c r="F30" s="124"/>
      <c r="G30" s="124"/>
      <c r="H30" s="124"/>
      <c r="I30" s="124"/>
      <c r="J30" s="124"/>
      <c r="K30" s="124"/>
    </row>
    <row r="31" customFormat="false" ht="18" hidden="false" customHeight="true" outlineLevel="0" collapsed="false">
      <c r="A31" s="125" t="s">
        <v>328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</row>
    <row r="32" customFormat="false" ht="18" hidden="false" customHeight="true" outlineLevel="0" collapsed="false">
      <c r="A32" s="126" t="s">
        <v>329</v>
      </c>
      <c r="B32" s="126"/>
      <c r="C32" s="126"/>
      <c r="D32" s="126"/>
      <c r="E32" s="126"/>
      <c r="F32" s="126" t="s">
        <v>330</v>
      </c>
      <c r="G32" s="126"/>
      <c r="H32" s="126"/>
      <c r="I32" s="126"/>
      <c r="J32" s="126"/>
      <c r="K32" s="126"/>
    </row>
    <row r="33" customFormat="false" ht="18" hidden="false" customHeight="true" outlineLevel="0" collapsed="false">
      <c r="A33" s="125" t="s">
        <v>331</v>
      </c>
      <c r="B33" s="125"/>
      <c r="C33" s="125"/>
      <c r="D33" s="125"/>
      <c r="E33" s="125"/>
      <c r="F33" s="125"/>
      <c r="G33" s="125"/>
      <c r="H33" s="125"/>
      <c r="I33" s="125"/>
      <c r="J33" s="125"/>
      <c r="K33" s="125"/>
    </row>
    <row r="34" customFormat="false" ht="18" hidden="false" customHeight="true" outlineLevel="0" collapsed="false">
      <c r="A34" s="126" t="s">
        <v>332</v>
      </c>
      <c r="B34" s="126"/>
      <c r="C34" s="126"/>
      <c r="D34" s="126"/>
      <c r="E34" s="126"/>
      <c r="F34" s="126" t="s">
        <v>333</v>
      </c>
      <c r="G34" s="126"/>
      <c r="H34" s="126"/>
      <c r="I34" s="126"/>
      <c r="J34" s="126"/>
      <c r="K34" s="126"/>
    </row>
    <row r="35" customFormat="false" ht="18" hidden="false" customHeight="true" outlineLevel="0" collapsed="false">
      <c r="A35" s="125" t="s">
        <v>334</v>
      </c>
      <c r="B35" s="125"/>
      <c r="C35" s="125"/>
      <c r="D35" s="125"/>
      <c r="E35" s="125"/>
      <c r="F35" s="125"/>
      <c r="G35" s="125"/>
      <c r="H35" s="125"/>
      <c r="I35" s="125"/>
      <c r="J35" s="125"/>
      <c r="K35" s="125"/>
    </row>
    <row r="36" customFormat="false" ht="18" hidden="false" customHeight="true" outlineLevel="0" collapsed="false">
      <c r="A36" s="127" t="s">
        <v>335</v>
      </c>
      <c r="B36" s="127"/>
      <c r="C36" s="127"/>
      <c r="D36" s="127"/>
      <c r="E36" s="127"/>
      <c r="F36" s="127" t="s">
        <v>336</v>
      </c>
      <c r="G36" s="127"/>
      <c r="H36" s="127"/>
      <c r="I36" s="127"/>
      <c r="J36" s="127"/>
      <c r="K36" s="127"/>
    </row>
    <row r="37" customFormat="false" ht="15" hidden="false" customHeight="false" outlineLevel="0" collapsed="false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</row>
  </sheetData>
  <mergeCells count="27">
    <mergeCell ref="A1:K1"/>
    <mergeCell ref="A2:K2"/>
    <mergeCell ref="A4:C4"/>
    <mergeCell ref="A8:K8"/>
    <mergeCell ref="A9:A10"/>
    <mergeCell ref="B9:B10"/>
    <mergeCell ref="C9:D9"/>
    <mergeCell ref="E9:G9"/>
    <mergeCell ref="H9:J9"/>
    <mergeCell ref="K9:K10"/>
    <mergeCell ref="A19:K19"/>
    <mergeCell ref="A20:A21"/>
    <mergeCell ref="B20:B21"/>
    <mergeCell ref="C20:D20"/>
    <mergeCell ref="E20:G20"/>
    <mergeCell ref="H20:J20"/>
    <mergeCell ref="K20:K21"/>
    <mergeCell ref="A30:K30"/>
    <mergeCell ref="A31:K31"/>
    <mergeCell ref="A32:E32"/>
    <mergeCell ref="F32:K32"/>
    <mergeCell ref="A33:K33"/>
    <mergeCell ref="A34:E34"/>
    <mergeCell ref="F34:K34"/>
    <mergeCell ref="A35:K35"/>
    <mergeCell ref="A36:E36"/>
    <mergeCell ref="F36:K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8" min="4" style="0" width="22"/>
    <col collapsed="false" customWidth="true" hidden="false" outlineLevel="0" max="9" min="9" style="0" width="26"/>
  </cols>
  <sheetData>
    <row r="1" customFormat="false" ht="30" hidden="false" customHeight="true" outlineLevel="0" collapsed="false">
      <c r="A1" s="129" t="s">
        <v>337</v>
      </c>
      <c r="B1" s="129"/>
      <c r="C1" s="129"/>
      <c r="D1" s="129"/>
      <c r="E1" s="129"/>
      <c r="F1" s="129"/>
      <c r="G1" s="129"/>
      <c r="H1" s="129"/>
      <c r="I1" s="129"/>
    </row>
    <row r="2" customFormat="false" ht="13.5" hidden="false" customHeight="true" outlineLevel="0" collapsed="false">
      <c r="A2" s="130" t="s">
        <v>338</v>
      </c>
      <c r="B2" s="130"/>
      <c r="C2" s="130"/>
      <c r="D2" s="130"/>
      <c r="E2" s="130"/>
      <c r="F2" s="130"/>
      <c r="G2" s="130"/>
      <c r="H2" s="130"/>
      <c r="I2" s="130"/>
    </row>
    <row r="3" customFormat="false" ht="31.5" hidden="false" customHeight="true" outlineLevel="0" collapsed="false">
      <c r="A3" s="131" t="s">
        <v>71</v>
      </c>
      <c r="B3" s="131" t="s">
        <v>255</v>
      </c>
      <c r="C3" s="131" t="s">
        <v>339</v>
      </c>
      <c r="D3" s="131" t="s">
        <v>340</v>
      </c>
      <c r="E3" s="131" t="s">
        <v>341</v>
      </c>
      <c r="F3" s="131" t="s">
        <v>342</v>
      </c>
      <c r="G3" s="131" t="s">
        <v>343</v>
      </c>
      <c r="H3" s="131" t="s">
        <v>344</v>
      </c>
      <c r="I3" s="131" t="s">
        <v>130</v>
      </c>
    </row>
    <row r="4" customFormat="false" ht="19.5" hidden="false" customHeight="true" outlineLevel="0" collapsed="false">
      <c r="A4" s="132" t="s">
        <v>80</v>
      </c>
      <c r="B4" s="132" t="n">
        <v>3</v>
      </c>
      <c r="C4" s="132" t="s">
        <v>345</v>
      </c>
      <c r="D4" s="132" t="s">
        <v>346</v>
      </c>
      <c r="E4" s="133" t="n">
        <v>50</v>
      </c>
      <c r="F4" s="133" t="n">
        <v>100</v>
      </c>
      <c r="G4" s="133" t="n">
        <v>5</v>
      </c>
      <c r="H4" s="133" t="n">
        <v>10</v>
      </c>
      <c r="I4" s="134" t="s">
        <v>347</v>
      </c>
    </row>
    <row r="5" customFormat="false" ht="19.5" hidden="false" customHeight="true" outlineLevel="0" collapsed="false">
      <c r="A5" s="135" t="s">
        <v>85</v>
      </c>
      <c r="B5" s="135" t="n">
        <v>4.32</v>
      </c>
      <c r="C5" s="135" t="s">
        <v>348</v>
      </c>
      <c r="D5" s="135" t="s">
        <v>349</v>
      </c>
      <c r="E5" s="133" t="n">
        <v>140</v>
      </c>
      <c r="F5" s="133" t="n">
        <v>280</v>
      </c>
      <c r="G5" s="133" t="n">
        <v>14</v>
      </c>
      <c r="H5" s="133" t="n">
        <v>28</v>
      </c>
      <c r="I5" s="136" t="s">
        <v>273</v>
      </c>
    </row>
    <row r="6" customFormat="false" ht="19.5" hidden="false" customHeight="true" outlineLevel="0" collapsed="false">
      <c r="A6" s="132" t="s">
        <v>89</v>
      </c>
      <c r="B6" s="132" t="n">
        <v>7.46</v>
      </c>
      <c r="C6" s="132" t="s">
        <v>350</v>
      </c>
      <c r="D6" s="132" t="s">
        <v>351</v>
      </c>
      <c r="E6" s="133" t="n">
        <v>240</v>
      </c>
      <c r="F6" s="133" t="n">
        <v>480</v>
      </c>
      <c r="G6" s="133" t="n">
        <v>24</v>
      </c>
      <c r="H6" s="133" t="n">
        <v>48</v>
      </c>
      <c r="I6" s="134" t="s">
        <v>278</v>
      </c>
    </row>
    <row r="7" customFormat="false" ht="19.5" hidden="false" customHeight="true" outlineLevel="0" collapsed="false">
      <c r="A7" s="135" t="s">
        <v>93</v>
      </c>
      <c r="B7" s="135" t="n">
        <v>15.48</v>
      </c>
      <c r="C7" s="135" t="s">
        <v>352</v>
      </c>
      <c r="D7" s="135" t="s">
        <v>353</v>
      </c>
      <c r="E7" s="133" t="n">
        <v>580</v>
      </c>
      <c r="F7" s="133" t="n">
        <v>1160</v>
      </c>
      <c r="G7" s="133" t="n">
        <v>58</v>
      </c>
      <c r="H7" s="133" t="n">
        <v>116</v>
      </c>
      <c r="I7" s="136" t="s">
        <v>283</v>
      </c>
    </row>
    <row r="8" customFormat="false" ht="19.5" hidden="false" customHeight="true" outlineLevel="0" collapsed="false">
      <c r="A8" s="132" t="s">
        <v>97</v>
      </c>
      <c r="B8" s="132" t="n">
        <v>38.52</v>
      </c>
      <c r="C8" s="132" t="s">
        <v>354</v>
      </c>
      <c r="D8" s="132" t="s">
        <v>355</v>
      </c>
      <c r="E8" s="133" t="n">
        <v>1170</v>
      </c>
      <c r="F8" s="133" t="n">
        <v>2340</v>
      </c>
      <c r="G8" s="133" t="n">
        <v>117</v>
      </c>
      <c r="H8" s="133" t="n">
        <v>234</v>
      </c>
      <c r="I8" s="134" t="s">
        <v>288</v>
      </c>
    </row>
    <row r="9" customFormat="false" ht="19.5" hidden="false" customHeight="true" outlineLevel="0" collapsed="false">
      <c r="A9" s="135" t="s">
        <v>101</v>
      </c>
      <c r="B9" s="135" t="n">
        <v>115.01</v>
      </c>
      <c r="C9" s="135" t="s">
        <v>356</v>
      </c>
      <c r="D9" s="135" t="s">
        <v>357</v>
      </c>
      <c r="E9" s="133" t="n">
        <v>1960</v>
      </c>
      <c r="F9" s="133" t="n">
        <v>3910</v>
      </c>
      <c r="G9" s="133" t="n">
        <v>196</v>
      </c>
      <c r="H9" s="133" t="n">
        <v>391</v>
      </c>
      <c r="I9" s="136" t="s">
        <v>293</v>
      </c>
    </row>
    <row r="10" customFormat="false" ht="19.5" hidden="false" customHeight="true" outlineLevel="0" collapsed="false">
      <c r="A10" s="132" t="s">
        <v>105</v>
      </c>
      <c r="B10" s="132" t="n">
        <v>412.11</v>
      </c>
      <c r="C10" s="132" t="s">
        <v>358</v>
      </c>
      <c r="D10" s="132" t="s">
        <v>359</v>
      </c>
      <c r="E10" s="133" t="n">
        <v>2730</v>
      </c>
      <c r="F10" s="133" t="n">
        <v>5460</v>
      </c>
      <c r="G10" s="133" t="n">
        <v>273</v>
      </c>
      <c r="H10" s="133" t="n">
        <v>546</v>
      </c>
      <c r="I10" s="134" t="s">
        <v>298</v>
      </c>
    </row>
    <row r="12" customFormat="false" ht="15" hidden="false" customHeight="true" outlineLevel="0" collapsed="false">
      <c r="A12" s="137" t="s">
        <v>360</v>
      </c>
      <c r="B12" s="137"/>
      <c r="C12" s="137"/>
      <c r="D12" s="137"/>
      <c r="E12" s="137"/>
      <c r="F12" s="137"/>
      <c r="G12" s="137"/>
      <c r="H12" s="137"/>
      <c r="I12" s="137"/>
    </row>
    <row r="13" customFormat="false" ht="31.5" hidden="false" customHeight="true" outlineLevel="0" collapsed="false">
      <c r="A13" s="131" t="s">
        <v>71</v>
      </c>
      <c r="B13" s="131" t="s">
        <v>361</v>
      </c>
      <c r="C13" s="131" t="s">
        <v>343</v>
      </c>
      <c r="D13" s="131" t="s">
        <v>362</v>
      </c>
      <c r="E13" s="131" t="s">
        <v>363</v>
      </c>
      <c r="F13" s="131" t="s">
        <v>344</v>
      </c>
      <c r="G13" s="131" t="s">
        <v>364</v>
      </c>
      <c r="H13" s="131" t="s">
        <v>365</v>
      </c>
      <c r="I13" s="131"/>
    </row>
    <row r="14" customFormat="false" ht="19.5" hidden="false" customHeight="true" outlineLevel="0" collapsed="false">
      <c r="A14" s="132" t="s">
        <v>80</v>
      </c>
      <c r="B14" s="132" t="n">
        <v>3</v>
      </c>
      <c r="C14" s="133" t="n">
        <v>5</v>
      </c>
      <c r="D14" s="138" t="s">
        <v>366</v>
      </c>
      <c r="E14" s="132" t="n">
        <v>6</v>
      </c>
      <c r="F14" s="133" t="n">
        <v>10</v>
      </c>
      <c r="G14" s="138" t="s">
        <v>366</v>
      </c>
      <c r="H14" s="132" t="s">
        <v>367</v>
      </c>
      <c r="I14" s="132"/>
    </row>
    <row r="15" customFormat="false" ht="19.5" hidden="false" customHeight="true" outlineLevel="0" collapsed="false">
      <c r="A15" s="132" t="s">
        <v>85</v>
      </c>
      <c r="B15" s="132" t="n">
        <v>12</v>
      </c>
      <c r="C15" s="133" t="n">
        <v>14</v>
      </c>
      <c r="D15" s="139" t="s">
        <v>368</v>
      </c>
      <c r="E15" s="132" t="n">
        <v>24</v>
      </c>
      <c r="F15" s="133" t="n">
        <v>28</v>
      </c>
      <c r="G15" s="139" t="s">
        <v>368</v>
      </c>
      <c r="H15" s="134" t="s">
        <v>369</v>
      </c>
      <c r="I15" s="132"/>
    </row>
    <row r="16" customFormat="false" ht="19.5" hidden="false" customHeight="true" outlineLevel="0" collapsed="false">
      <c r="A16" s="132" t="s">
        <v>89</v>
      </c>
      <c r="B16" s="132" t="n">
        <v>36</v>
      </c>
      <c r="C16" s="133" t="n">
        <v>24</v>
      </c>
      <c r="D16" s="139" t="s">
        <v>370</v>
      </c>
      <c r="E16" s="132" t="n">
        <v>72</v>
      </c>
      <c r="F16" s="133" t="n">
        <v>48</v>
      </c>
      <c r="G16" s="139" t="s">
        <v>370</v>
      </c>
      <c r="H16" s="134" t="s">
        <v>369</v>
      </c>
      <c r="I16" s="132"/>
    </row>
    <row r="17" customFormat="false" ht="19.5" hidden="false" customHeight="true" outlineLevel="0" collapsed="false">
      <c r="A17" s="132" t="s">
        <v>93</v>
      </c>
      <c r="B17" s="132" t="n">
        <v>180</v>
      </c>
      <c r="C17" s="133" t="n">
        <v>58</v>
      </c>
      <c r="D17" s="139" t="s">
        <v>371</v>
      </c>
      <c r="E17" s="132" t="n">
        <v>360</v>
      </c>
      <c r="F17" s="133" t="n">
        <v>116</v>
      </c>
      <c r="G17" s="139" t="s">
        <v>371</v>
      </c>
      <c r="H17" s="134" t="s">
        <v>372</v>
      </c>
      <c r="I17" s="132"/>
    </row>
    <row r="18" customFormat="false" ht="19.5" hidden="false" customHeight="true" outlineLevel="0" collapsed="false">
      <c r="A18" s="132" t="s">
        <v>97</v>
      </c>
      <c r="B18" s="132" t="n">
        <v>900</v>
      </c>
      <c r="C18" s="133" t="n">
        <v>117</v>
      </c>
      <c r="D18" s="139" t="s">
        <v>373</v>
      </c>
      <c r="E18" s="132" t="n">
        <v>1800</v>
      </c>
      <c r="F18" s="133" t="n">
        <v>234</v>
      </c>
      <c r="G18" s="139" t="s">
        <v>373</v>
      </c>
      <c r="H18" s="134" t="s">
        <v>374</v>
      </c>
      <c r="I18" s="132"/>
    </row>
    <row r="19" customFormat="false" ht="19.5" hidden="false" customHeight="true" outlineLevel="0" collapsed="false">
      <c r="A19" s="132" t="s">
        <v>101</v>
      </c>
      <c r="B19" s="132" t="n">
        <v>4500</v>
      </c>
      <c r="C19" s="133" t="n">
        <v>196</v>
      </c>
      <c r="D19" s="139" t="s">
        <v>375</v>
      </c>
      <c r="E19" s="132" t="n">
        <v>9000</v>
      </c>
      <c r="F19" s="133" t="n">
        <v>391</v>
      </c>
      <c r="G19" s="139" t="s">
        <v>375</v>
      </c>
      <c r="H19" s="134" t="s">
        <v>374</v>
      </c>
      <c r="I19" s="132"/>
    </row>
    <row r="20" customFormat="false" ht="19.5" hidden="false" customHeight="true" outlineLevel="0" collapsed="false">
      <c r="A20" s="132" t="s">
        <v>105</v>
      </c>
      <c r="B20" s="132" t="n">
        <v>22500</v>
      </c>
      <c r="C20" s="133" t="n">
        <v>273</v>
      </c>
      <c r="D20" s="139" t="s">
        <v>376</v>
      </c>
      <c r="E20" s="132" t="n">
        <v>45000</v>
      </c>
      <c r="F20" s="133" t="n">
        <v>546</v>
      </c>
      <c r="G20" s="139" t="s">
        <v>376</v>
      </c>
      <c r="H20" s="134" t="s">
        <v>374</v>
      </c>
      <c r="I20" s="132"/>
    </row>
  </sheetData>
  <mergeCells count="3">
    <mergeCell ref="A1:I1"/>
    <mergeCell ref="A2:I2"/>
    <mergeCell ref="A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6"/>
    <col collapsed="false" customWidth="true" hidden="false" outlineLevel="0" max="6" min="5" style="0" width="28"/>
    <col collapsed="false" customWidth="true" hidden="false" outlineLevel="0" max="7" min="7" style="0" width="18"/>
  </cols>
  <sheetData>
    <row r="1" customFormat="false" ht="36" hidden="false" customHeight="true" outlineLevel="0" collapsed="false">
      <c r="A1" s="140" t="s">
        <v>377</v>
      </c>
      <c r="B1" s="140"/>
      <c r="C1" s="140"/>
      <c r="D1" s="140"/>
      <c r="E1" s="140"/>
      <c r="F1" s="140"/>
      <c r="G1" s="34" t="s">
        <v>41</v>
      </c>
    </row>
    <row r="2" customFormat="false" ht="18" hidden="false" customHeight="true" outlineLevel="0" collapsed="false">
      <c r="A2" s="141" t="s">
        <v>378</v>
      </c>
      <c r="B2" s="141"/>
      <c r="C2" s="141"/>
      <c r="D2" s="141"/>
      <c r="E2" s="141"/>
      <c r="F2" s="141"/>
    </row>
    <row r="3" customFormat="false" ht="42" hidden="false" customHeight="true" outlineLevel="0" collapsed="false">
      <c r="A3" s="142" t="s">
        <v>379</v>
      </c>
      <c r="B3" s="142" t="s">
        <v>380</v>
      </c>
      <c r="C3" s="142" t="s">
        <v>381</v>
      </c>
      <c r="D3" s="142" t="s">
        <v>382</v>
      </c>
      <c r="E3" s="142" t="s">
        <v>383</v>
      </c>
      <c r="F3" s="142" t="s">
        <v>384</v>
      </c>
    </row>
    <row r="4" customFormat="false" ht="30" hidden="false" customHeight="true" outlineLevel="0" collapsed="false">
      <c r="A4" s="143" t="s">
        <v>385</v>
      </c>
      <c r="B4" s="144" t="s">
        <v>386</v>
      </c>
      <c r="C4" s="145" t="n">
        <f aca="false">20*0.15</f>
        <v>3</v>
      </c>
      <c r="D4" s="146" t="n">
        <f aca="false">20*60*0.15</f>
        <v>180</v>
      </c>
      <c r="E4" s="147" t="s">
        <v>387</v>
      </c>
      <c r="F4" s="148" t="s">
        <v>388</v>
      </c>
    </row>
    <row r="5" customFormat="false" ht="30" hidden="false" customHeight="true" outlineLevel="0" collapsed="false">
      <c r="A5" s="149" t="s">
        <v>389</v>
      </c>
      <c r="B5" s="150" t="s">
        <v>390</v>
      </c>
      <c r="C5" s="145" t="n">
        <f aca="false">20*0.02</f>
        <v>0.4</v>
      </c>
      <c r="D5" s="146" t="n">
        <f aca="false">20*60*0.02</f>
        <v>24</v>
      </c>
      <c r="E5" s="151" t="s">
        <v>391</v>
      </c>
      <c r="F5" s="152" t="s">
        <v>392</v>
      </c>
    </row>
    <row r="6" customFormat="false" ht="30" hidden="false" customHeight="true" outlineLevel="0" collapsed="false">
      <c r="A6" s="153" t="s">
        <v>393</v>
      </c>
      <c r="B6" s="154" t="s">
        <v>394</v>
      </c>
      <c r="C6" s="155" t="s">
        <v>83</v>
      </c>
      <c r="D6" s="155" t="s">
        <v>83</v>
      </c>
      <c r="E6" s="156" t="s">
        <v>395</v>
      </c>
      <c r="F6" s="152" t="s">
        <v>396</v>
      </c>
    </row>
    <row r="7" customFormat="false" ht="30" hidden="false" customHeight="true" outlineLevel="0" collapsed="false">
      <c r="A7" s="157" t="s">
        <v>397</v>
      </c>
      <c r="B7" s="158" t="s">
        <v>398</v>
      </c>
      <c r="C7" s="159" t="s">
        <v>83</v>
      </c>
      <c r="D7" s="160" t="s">
        <v>399</v>
      </c>
      <c r="E7" s="161" t="s">
        <v>400</v>
      </c>
      <c r="F7" s="148" t="s">
        <v>401</v>
      </c>
    </row>
    <row r="10" customFormat="false" ht="24" hidden="false" customHeight="true" outlineLevel="0" collapsed="false">
      <c r="A10" s="162" t="s">
        <v>402</v>
      </c>
      <c r="B10" s="162"/>
      <c r="C10" s="162"/>
      <c r="D10" s="162"/>
      <c r="E10" s="162"/>
      <c r="F10" s="162"/>
    </row>
    <row r="11" customFormat="false" ht="25.5" hidden="false" customHeight="true" outlineLevel="0" collapsed="false">
      <c r="A11" s="163" t="s">
        <v>403</v>
      </c>
      <c r="B11" s="163" t="s">
        <v>404</v>
      </c>
      <c r="C11" s="163" t="s">
        <v>405</v>
      </c>
    </row>
    <row r="12" customFormat="false" ht="19.5" hidden="false" customHeight="true" outlineLevel="0" collapsed="false">
      <c r="A12" s="164" t="s">
        <v>406</v>
      </c>
      <c r="B12" s="165" t="n">
        <f aca="false">1-(1-0.15)^5</f>
        <v>0.5562946875</v>
      </c>
      <c r="C12" s="152" t="s">
        <v>407</v>
      </c>
    </row>
    <row r="13" customFormat="false" ht="19.5" hidden="false" customHeight="true" outlineLevel="0" collapsed="false">
      <c r="A13" s="164" t="s">
        <v>408</v>
      </c>
      <c r="B13" s="165" t="n">
        <f aca="false">1-(1-0.15)^7</f>
        <v>0.67942291171875</v>
      </c>
      <c r="C13" s="152" t="s">
        <v>409</v>
      </c>
    </row>
    <row r="14" customFormat="false" ht="19.5" hidden="false" customHeight="true" outlineLevel="0" collapsed="false">
      <c r="A14" s="164" t="s">
        <v>410</v>
      </c>
      <c r="B14" s="165" t="n">
        <f aca="false">1-(1-0.15)^10</f>
        <v>0.803125595659277</v>
      </c>
      <c r="C14" s="148" t="s">
        <v>411</v>
      </c>
    </row>
    <row r="15" customFormat="false" ht="19.5" hidden="false" customHeight="true" outlineLevel="0" collapsed="false">
      <c r="A15" s="164" t="s">
        <v>412</v>
      </c>
      <c r="B15" s="165" t="n">
        <f aca="false">1-(1-0.15)^20</f>
        <v>0.961240468915486</v>
      </c>
      <c r="C15" s="148" t="s">
        <v>413</v>
      </c>
    </row>
    <row r="16" customFormat="false" ht="19.5" hidden="false" customHeight="true" outlineLevel="0" collapsed="false">
      <c r="A16" s="164" t="s">
        <v>414</v>
      </c>
      <c r="B16" s="165" t="n">
        <f aca="false">1-(1-0.15)^30</f>
        <v>0.992369240405211</v>
      </c>
      <c r="C16" s="148" t="s">
        <v>415</v>
      </c>
    </row>
  </sheetData>
  <mergeCells count="3">
    <mergeCell ref="A1:F1"/>
    <mergeCell ref="A2:F2"/>
    <mergeCell ref="A10:F10"/>
  </mergeCells>
  <hyperlinks>
    <hyperlink ref="G1" r:id="rId1" location="🗺️%20제작%20방식%20개요!A1" display="🏠 개요로 돌아가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14843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5"/>
    <col collapsed="false" customWidth="true" hidden="false" outlineLevel="0" max="9" min="4" style="0" width="13"/>
    <col collapsed="false" customWidth="true" hidden="false" outlineLevel="0" max="10" min="10" style="0" width="18"/>
  </cols>
  <sheetData>
    <row r="1" customFormat="false" ht="36" hidden="false" customHeight="true" outlineLevel="0" collapsed="false">
      <c r="A1" s="166" t="s">
        <v>416</v>
      </c>
      <c r="B1" s="166"/>
      <c r="C1" s="166"/>
      <c r="D1" s="166"/>
      <c r="E1" s="166"/>
      <c r="F1" s="166"/>
      <c r="G1" s="166"/>
      <c r="H1" s="166"/>
      <c r="I1" s="166"/>
      <c r="J1" s="34" t="s">
        <v>41</v>
      </c>
    </row>
    <row r="2" customFormat="false" ht="18" hidden="false" customHeight="true" outlineLevel="0" collapsed="false">
      <c r="A2" s="141" t="s">
        <v>417</v>
      </c>
      <c r="B2" s="141"/>
      <c r="C2" s="141"/>
      <c r="D2" s="141"/>
      <c r="E2" s="141"/>
      <c r="F2" s="141"/>
      <c r="G2" s="141"/>
      <c r="H2" s="141"/>
      <c r="I2" s="141"/>
    </row>
    <row r="3" customFormat="false" ht="42" hidden="false" customHeight="true" outlineLevel="0" collapsed="false">
      <c r="A3" s="167" t="s">
        <v>418</v>
      </c>
      <c r="B3" s="168" t="s">
        <v>419</v>
      </c>
      <c r="C3" s="168" t="s">
        <v>71</v>
      </c>
      <c r="D3" s="168" t="s">
        <v>420</v>
      </c>
      <c r="E3" s="168" t="s">
        <v>421</v>
      </c>
      <c r="F3" s="168" t="s">
        <v>422</v>
      </c>
      <c r="G3" s="168" t="s">
        <v>423</v>
      </c>
      <c r="H3" s="168" t="s">
        <v>424</v>
      </c>
      <c r="I3" s="168" t="s">
        <v>425</v>
      </c>
    </row>
    <row r="4" customFormat="false" ht="19.5" hidden="false" customHeight="true" outlineLevel="0" collapsed="false">
      <c r="A4" s="169" t="s">
        <v>426</v>
      </c>
      <c r="B4" s="170" t="s">
        <v>427</v>
      </c>
      <c r="C4" s="60" t="s">
        <v>80</v>
      </c>
      <c r="D4" s="171" t="s">
        <v>428</v>
      </c>
      <c r="E4" s="172" t="s">
        <v>429</v>
      </c>
      <c r="F4" s="171" t="s">
        <v>83</v>
      </c>
      <c r="G4" s="172" t="s">
        <v>83</v>
      </c>
      <c r="H4" s="171" t="s">
        <v>83</v>
      </c>
      <c r="I4" s="172" t="s">
        <v>83</v>
      </c>
    </row>
    <row r="5" customFormat="false" ht="19.5" hidden="false" customHeight="true" outlineLevel="0" collapsed="false">
      <c r="A5" s="169" t="s">
        <v>430</v>
      </c>
      <c r="B5" s="170" t="s">
        <v>431</v>
      </c>
      <c r="C5" s="60" t="s">
        <v>80</v>
      </c>
      <c r="D5" s="171" t="s">
        <v>428</v>
      </c>
      <c r="E5" s="172" t="s">
        <v>429</v>
      </c>
      <c r="F5" s="171" t="s">
        <v>83</v>
      </c>
      <c r="G5" s="172" t="s">
        <v>83</v>
      </c>
      <c r="H5" s="171" t="s">
        <v>83</v>
      </c>
      <c r="I5" s="172" t="s">
        <v>83</v>
      </c>
    </row>
    <row r="6" customFormat="false" ht="19.5" hidden="false" customHeight="true" outlineLevel="0" collapsed="false">
      <c r="A6" s="169" t="s">
        <v>432</v>
      </c>
      <c r="B6" s="170" t="s">
        <v>433</v>
      </c>
      <c r="C6" s="60" t="s">
        <v>80</v>
      </c>
      <c r="D6" s="171" t="s">
        <v>428</v>
      </c>
      <c r="E6" s="172" t="s">
        <v>429</v>
      </c>
      <c r="F6" s="171" t="s">
        <v>83</v>
      </c>
      <c r="G6" s="172" t="s">
        <v>83</v>
      </c>
      <c r="H6" s="171" t="s">
        <v>83</v>
      </c>
      <c r="I6" s="172" t="s">
        <v>83</v>
      </c>
    </row>
    <row r="7" customFormat="false" ht="19.5" hidden="false" customHeight="true" outlineLevel="0" collapsed="false">
      <c r="A7" s="169" t="s">
        <v>434</v>
      </c>
      <c r="B7" s="170" t="s">
        <v>435</v>
      </c>
      <c r="C7" s="60" t="s">
        <v>80</v>
      </c>
      <c r="D7" s="171" t="s">
        <v>436</v>
      </c>
      <c r="E7" s="172" t="s">
        <v>429</v>
      </c>
      <c r="F7" s="171" t="s">
        <v>83</v>
      </c>
      <c r="G7" s="172" t="s">
        <v>83</v>
      </c>
      <c r="H7" s="171" t="s">
        <v>83</v>
      </c>
      <c r="I7" s="172" t="s">
        <v>83</v>
      </c>
    </row>
    <row r="8" customFormat="false" ht="19.5" hidden="false" customHeight="true" outlineLevel="0" collapsed="false">
      <c r="A8" s="169" t="s">
        <v>437</v>
      </c>
      <c r="B8" s="170" t="s">
        <v>438</v>
      </c>
      <c r="C8" s="60" t="s">
        <v>80</v>
      </c>
      <c r="D8" s="171" t="s">
        <v>436</v>
      </c>
      <c r="E8" s="172" t="s">
        <v>429</v>
      </c>
      <c r="F8" s="171" t="s">
        <v>83</v>
      </c>
      <c r="G8" s="172" t="s">
        <v>83</v>
      </c>
      <c r="H8" s="171" t="s">
        <v>83</v>
      </c>
      <c r="I8" s="172" t="s">
        <v>83</v>
      </c>
    </row>
    <row r="9" customFormat="false" ht="19.5" hidden="false" customHeight="true" outlineLevel="0" collapsed="false">
      <c r="A9" s="173" t="s">
        <v>439</v>
      </c>
      <c r="B9" s="174" t="s">
        <v>440</v>
      </c>
      <c r="C9" s="67" t="s">
        <v>85</v>
      </c>
      <c r="D9" s="171" t="s">
        <v>441</v>
      </c>
      <c r="E9" s="175" t="s">
        <v>442</v>
      </c>
      <c r="F9" s="171" t="s">
        <v>443</v>
      </c>
      <c r="G9" s="175" t="s">
        <v>444</v>
      </c>
      <c r="H9" s="171" t="s">
        <v>445</v>
      </c>
      <c r="I9" s="175" t="s">
        <v>446</v>
      </c>
    </row>
    <row r="10" customFormat="false" ht="19.5" hidden="false" customHeight="true" outlineLevel="0" collapsed="false">
      <c r="A10" s="173" t="s">
        <v>447</v>
      </c>
      <c r="B10" s="174" t="s">
        <v>448</v>
      </c>
      <c r="C10" s="67" t="s">
        <v>85</v>
      </c>
      <c r="D10" s="171" t="s">
        <v>441</v>
      </c>
      <c r="E10" s="175" t="s">
        <v>442</v>
      </c>
      <c r="F10" s="171" t="s">
        <v>443</v>
      </c>
      <c r="G10" s="175" t="s">
        <v>444</v>
      </c>
      <c r="H10" s="171" t="s">
        <v>445</v>
      </c>
      <c r="I10" s="175" t="s">
        <v>446</v>
      </c>
    </row>
    <row r="11" customFormat="false" ht="19.5" hidden="false" customHeight="true" outlineLevel="0" collapsed="false">
      <c r="A11" s="173" t="s">
        <v>449</v>
      </c>
      <c r="B11" s="174" t="s">
        <v>450</v>
      </c>
      <c r="C11" s="67" t="s">
        <v>85</v>
      </c>
      <c r="D11" s="171" t="s">
        <v>441</v>
      </c>
      <c r="E11" s="175" t="s">
        <v>442</v>
      </c>
      <c r="F11" s="171" t="s">
        <v>451</v>
      </c>
      <c r="G11" s="175" t="s">
        <v>444</v>
      </c>
      <c r="H11" s="171" t="s">
        <v>445</v>
      </c>
      <c r="I11" s="175" t="s">
        <v>446</v>
      </c>
    </row>
    <row r="12" customFormat="false" ht="19.5" hidden="false" customHeight="true" outlineLevel="0" collapsed="false">
      <c r="A12" s="173" t="s">
        <v>452</v>
      </c>
      <c r="B12" s="174" t="s">
        <v>453</v>
      </c>
      <c r="C12" s="67" t="s">
        <v>85</v>
      </c>
      <c r="D12" s="171" t="s">
        <v>443</v>
      </c>
      <c r="E12" s="175" t="s">
        <v>442</v>
      </c>
      <c r="F12" s="171" t="s">
        <v>451</v>
      </c>
      <c r="G12" s="175" t="s">
        <v>444</v>
      </c>
      <c r="H12" s="171" t="s">
        <v>445</v>
      </c>
      <c r="I12" s="175" t="s">
        <v>446</v>
      </c>
    </row>
    <row r="13" customFormat="false" ht="19.5" hidden="false" customHeight="true" outlineLevel="0" collapsed="false">
      <c r="A13" s="173" t="s">
        <v>454</v>
      </c>
      <c r="B13" s="174" t="s">
        <v>455</v>
      </c>
      <c r="C13" s="67" t="s">
        <v>85</v>
      </c>
      <c r="D13" s="171" t="s">
        <v>443</v>
      </c>
      <c r="E13" s="175" t="s">
        <v>442</v>
      </c>
      <c r="F13" s="171" t="s">
        <v>456</v>
      </c>
      <c r="G13" s="175" t="s">
        <v>444</v>
      </c>
      <c r="H13" s="171" t="s">
        <v>445</v>
      </c>
      <c r="I13" s="175" t="s">
        <v>446</v>
      </c>
    </row>
    <row r="14" customFormat="false" ht="19.5" hidden="false" customHeight="true" outlineLevel="0" collapsed="false">
      <c r="A14" s="173" t="s">
        <v>457</v>
      </c>
      <c r="B14" s="174" t="s">
        <v>458</v>
      </c>
      <c r="C14" s="67" t="s">
        <v>85</v>
      </c>
      <c r="D14" s="171" t="s">
        <v>441</v>
      </c>
      <c r="E14" s="175" t="s">
        <v>442</v>
      </c>
      <c r="F14" s="171" t="s">
        <v>443</v>
      </c>
      <c r="G14" s="175" t="s">
        <v>444</v>
      </c>
      <c r="H14" s="171" t="s">
        <v>459</v>
      </c>
      <c r="I14" s="175" t="s">
        <v>460</v>
      </c>
    </row>
    <row r="15" customFormat="false" ht="19.5" hidden="false" customHeight="true" outlineLevel="0" collapsed="false">
      <c r="A15" s="173" t="s">
        <v>461</v>
      </c>
      <c r="B15" s="174" t="s">
        <v>462</v>
      </c>
      <c r="C15" s="67" t="s">
        <v>85</v>
      </c>
      <c r="D15" s="171" t="s">
        <v>441</v>
      </c>
      <c r="E15" s="175" t="s">
        <v>442</v>
      </c>
      <c r="F15" s="171" t="s">
        <v>443</v>
      </c>
      <c r="G15" s="175" t="s">
        <v>444</v>
      </c>
      <c r="H15" s="171" t="s">
        <v>459</v>
      </c>
      <c r="I15" s="175" t="s">
        <v>460</v>
      </c>
    </row>
    <row r="16" customFormat="false" ht="19.5" hidden="false" customHeight="true" outlineLevel="0" collapsed="false">
      <c r="A16" s="173" t="s">
        <v>463</v>
      </c>
      <c r="B16" s="174" t="s">
        <v>464</v>
      </c>
      <c r="C16" s="67" t="s">
        <v>85</v>
      </c>
      <c r="D16" s="171" t="s">
        <v>441</v>
      </c>
      <c r="E16" s="175" t="s">
        <v>442</v>
      </c>
      <c r="F16" s="171" t="s">
        <v>451</v>
      </c>
      <c r="G16" s="175" t="s">
        <v>444</v>
      </c>
      <c r="H16" s="171" t="s">
        <v>459</v>
      </c>
      <c r="I16" s="175" t="s">
        <v>460</v>
      </c>
    </row>
    <row r="17" customFormat="false" ht="19.5" hidden="false" customHeight="true" outlineLevel="0" collapsed="false">
      <c r="A17" s="173" t="s">
        <v>465</v>
      </c>
      <c r="B17" s="174" t="s">
        <v>466</v>
      </c>
      <c r="C17" s="67" t="s">
        <v>85</v>
      </c>
      <c r="D17" s="171" t="s">
        <v>443</v>
      </c>
      <c r="E17" s="175" t="s">
        <v>442</v>
      </c>
      <c r="F17" s="171" t="s">
        <v>451</v>
      </c>
      <c r="G17" s="175" t="s">
        <v>444</v>
      </c>
      <c r="H17" s="171" t="s">
        <v>459</v>
      </c>
      <c r="I17" s="175" t="s">
        <v>460</v>
      </c>
    </row>
    <row r="18" customFormat="false" ht="19.5" hidden="false" customHeight="true" outlineLevel="0" collapsed="false">
      <c r="A18" s="173" t="s">
        <v>467</v>
      </c>
      <c r="B18" s="174" t="s">
        <v>468</v>
      </c>
      <c r="C18" s="67" t="s">
        <v>85</v>
      </c>
      <c r="D18" s="171" t="s">
        <v>443</v>
      </c>
      <c r="E18" s="175" t="s">
        <v>442</v>
      </c>
      <c r="F18" s="171" t="s">
        <v>456</v>
      </c>
      <c r="G18" s="175" t="s">
        <v>444</v>
      </c>
      <c r="H18" s="171" t="s">
        <v>459</v>
      </c>
      <c r="I18" s="175" t="s">
        <v>460</v>
      </c>
    </row>
    <row r="19" customFormat="false" ht="19.5" hidden="false" customHeight="true" outlineLevel="0" collapsed="false">
      <c r="A19" s="176" t="s">
        <v>469</v>
      </c>
      <c r="B19" s="177" t="s">
        <v>470</v>
      </c>
      <c r="C19" s="75" t="s">
        <v>89</v>
      </c>
      <c r="D19" s="171" t="s">
        <v>471</v>
      </c>
      <c r="E19" s="175" t="s">
        <v>472</v>
      </c>
      <c r="F19" s="171" t="s">
        <v>473</v>
      </c>
      <c r="G19" s="175" t="s">
        <v>474</v>
      </c>
      <c r="H19" s="171" t="s">
        <v>475</v>
      </c>
      <c r="I19" s="175" t="s">
        <v>476</v>
      </c>
    </row>
    <row r="20" customFormat="false" ht="19.5" hidden="false" customHeight="true" outlineLevel="0" collapsed="false">
      <c r="A20" s="176" t="s">
        <v>477</v>
      </c>
      <c r="B20" s="177" t="s">
        <v>478</v>
      </c>
      <c r="C20" s="75" t="s">
        <v>89</v>
      </c>
      <c r="D20" s="171" t="s">
        <v>471</v>
      </c>
      <c r="E20" s="175" t="s">
        <v>472</v>
      </c>
      <c r="F20" s="171" t="s">
        <v>473</v>
      </c>
      <c r="G20" s="175" t="s">
        <v>474</v>
      </c>
      <c r="H20" s="171" t="s">
        <v>475</v>
      </c>
      <c r="I20" s="175" t="s">
        <v>476</v>
      </c>
    </row>
    <row r="21" customFormat="false" ht="19.5" hidden="false" customHeight="true" outlineLevel="0" collapsed="false">
      <c r="A21" s="176" t="s">
        <v>479</v>
      </c>
      <c r="B21" s="177" t="s">
        <v>480</v>
      </c>
      <c r="C21" s="75" t="s">
        <v>89</v>
      </c>
      <c r="D21" s="171" t="s">
        <v>471</v>
      </c>
      <c r="E21" s="175" t="s">
        <v>472</v>
      </c>
      <c r="F21" s="171" t="s">
        <v>481</v>
      </c>
      <c r="G21" s="175" t="s">
        <v>474</v>
      </c>
      <c r="H21" s="171" t="s">
        <v>475</v>
      </c>
      <c r="I21" s="175" t="s">
        <v>476</v>
      </c>
    </row>
    <row r="22" customFormat="false" ht="19.5" hidden="false" customHeight="true" outlineLevel="0" collapsed="false">
      <c r="A22" s="176" t="s">
        <v>482</v>
      </c>
      <c r="B22" s="177" t="s">
        <v>483</v>
      </c>
      <c r="C22" s="75" t="s">
        <v>89</v>
      </c>
      <c r="D22" s="171" t="s">
        <v>473</v>
      </c>
      <c r="E22" s="175" t="s">
        <v>472</v>
      </c>
      <c r="F22" s="171" t="s">
        <v>481</v>
      </c>
      <c r="G22" s="175" t="s">
        <v>474</v>
      </c>
      <c r="H22" s="171" t="s">
        <v>475</v>
      </c>
      <c r="I22" s="175" t="s">
        <v>476</v>
      </c>
    </row>
    <row r="23" customFormat="false" ht="19.5" hidden="false" customHeight="true" outlineLevel="0" collapsed="false">
      <c r="A23" s="176" t="s">
        <v>484</v>
      </c>
      <c r="B23" s="177" t="s">
        <v>485</v>
      </c>
      <c r="C23" s="75" t="s">
        <v>89</v>
      </c>
      <c r="D23" s="171" t="s">
        <v>473</v>
      </c>
      <c r="E23" s="175" t="s">
        <v>472</v>
      </c>
      <c r="F23" s="171" t="s">
        <v>486</v>
      </c>
      <c r="G23" s="175" t="s">
        <v>474</v>
      </c>
      <c r="H23" s="171" t="s">
        <v>475</v>
      </c>
      <c r="I23" s="175" t="s">
        <v>476</v>
      </c>
    </row>
    <row r="24" customFormat="false" ht="19.5" hidden="false" customHeight="true" outlineLevel="0" collapsed="false">
      <c r="A24" s="176" t="s">
        <v>487</v>
      </c>
      <c r="B24" s="177" t="s">
        <v>488</v>
      </c>
      <c r="C24" s="75" t="s">
        <v>89</v>
      </c>
      <c r="D24" s="171" t="s">
        <v>471</v>
      </c>
      <c r="E24" s="175" t="s">
        <v>472</v>
      </c>
      <c r="F24" s="171" t="s">
        <v>473</v>
      </c>
      <c r="G24" s="175" t="s">
        <v>474</v>
      </c>
      <c r="H24" s="171" t="s">
        <v>489</v>
      </c>
      <c r="I24" s="175" t="s">
        <v>490</v>
      </c>
    </row>
    <row r="25" customFormat="false" ht="19.5" hidden="false" customHeight="true" outlineLevel="0" collapsed="false">
      <c r="A25" s="176" t="s">
        <v>491</v>
      </c>
      <c r="B25" s="177" t="s">
        <v>492</v>
      </c>
      <c r="C25" s="75" t="s">
        <v>89</v>
      </c>
      <c r="D25" s="171" t="s">
        <v>471</v>
      </c>
      <c r="E25" s="175" t="s">
        <v>472</v>
      </c>
      <c r="F25" s="171" t="s">
        <v>473</v>
      </c>
      <c r="G25" s="175" t="s">
        <v>474</v>
      </c>
      <c r="H25" s="171" t="s">
        <v>489</v>
      </c>
      <c r="I25" s="175" t="s">
        <v>490</v>
      </c>
    </row>
    <row r="26" customFormat="false" ht="19.5" hidden="false" customHeight="true" outlineLevel="0" collapsed="false">
      <c r="A26" s="176" t="s">
        <v>493</v>
      </c>
      <c r="B26" s="177" t="s">
        <v>494</v>
      </c>
      <c r="C26" s="75" t="s">
        <v>89</v>
      </c>
      <c r="D26" s="171" t="s">
        <v>471</v>
      </c>
      <c r="E26" s="175" t="s">
        <v>472</v>
      </c>
      <c r="F26" s="171" t="s">
        <v>481</v>
      </c>
      <c r="G26" s="175" t="s">
        <v>474</v>
      </c>
      <c r="H26" s="171" t="s">
        <v>489</v>
      </c>
      <c r="I26" s="175" t="s">
        <v>490</v>
      </c>
    </row>
    <row r="27" customFormat="false" ht="19.5" hidden="false" customHeight="true" outlineLevel="0" collapsed="false">
      <c r="A27" s="176" t="s">
        <v>495</v>
      </c>
      <c r="B27" s="177" t="s">
        <v>496</v>
      </c>
      <c r="C27" s="75" t="s">
        <v>89</v>
      </c>
      <c r="D27" s="171" t="s">
        <v>473</v>
      </c>
      <c r="E27" s="175" t="s">
        <v>472</v>
      </c>
      <c r="F27" s="171" t="s">
        <v>481</v>
      </c>
      <c r="G27" s="175" t="s">
        <v>474</v>
      </c>
      <c r="H27" s="171" t="s">
        <v>489</v>
      </c>
      <c r="I27" s="175" t="s">
        <v>490</v>
      </c>
    </row>
    <row r="28" customFormat="false" ht="19.5" hidden="false" customHeight="true" outlineLevel="0" collapsed="false">
      <c r="A28" s="176" t="s">
        <v>497</v>
      </c>
      <c r="B28" s="177" t="s">
        <v>498</v>
      </c>
      <c r="C28" s="75" t="s">
        <v>89</v>
      </c>
      <c r="D28" s="171" t="s">
        <v>473</v>
      </c>
      <c r="E28" s="175" t="s">
        <v>472</v>
      </c>
      <c r="F28" s="171" t="s">
        <v>486</v>
      </c>
      <c r="G28" s="175" t="s">
        <v>474</v>
      </c>
      <c r="H28" s="171" t="s">
        <v>489</v>
      </c>
      <c r="I28" s="175" t="s">
        <v>490</v>
      </c>
    </row>
    <row r="29" customFormat="false" ht="19.5" hidden="false" customHeight="true" outlineLevel="0" collapsed="false">
      <c r="A29" s="178" t="s">
        <v>499</v>
      </c>
      <c r="B29" s="179" t="s">
        <v>500</v>
      </c>
      <c r="C29" s="180" t="s">
        <v>93</v>
      </c>
      <c r="D29" s="171" t="s">
        <v>501</v>
      </c>
      <c r="E29" s="175" t="s">
        <v>502</v>
      </c>
      <c r="F29" s="171" t="s">
        <v>503</v>
      </c>
      <c r="G29" s="175" t="s">
        <v>504</v>
      </c>
      <c r="H29" s="171" t="s">
        <v>505</v>
      </c>
      <c r="I29" s="175" t="s">
        <v>506</v>
      </c>
    </row>
    <row r="30" customFormat="false" ht="19.5" hidden="false" customHeight="true" outlineLevel="0" collapsed="false">
      <c r="A30" s="178" t="s">
        <v>507</v>
      </c>
      <c r="B30" s="179" t="s">
        <v>508</v>
      </c>
      <c r="C30" s="180" t="s">
        <v>93</v>
      </c>
      <c r="D30" s="171" t="s">
        <v>501</v>
      </c>
      <c r="E30" s="175" t="s">
        <v>502</v>
      </c>
      <c r="F30" s="171" t="s">
        <v>503</v>
      </c>
      <c r="G30" s="175" t="s">
        <v>504</v>
      </c>
      <c r="H30" s="171" t="s">
        <v>505</v>
      </c>
      <c r="I30" s="175" t="s">
        <v>506</v>
      </c>
    </row>
    <row r="31" customFormat="false" ht="19.5" hidden="false" customHeight="true" outlineLevel="0" collapsed="false">
      <c r="A31" s="178" t="s">
        <v>509</v>
      </c>
      <c r="B31" s="179" t="s">
        <v>510</v>
      </c>
      <c r="C31" s="180" t="s">
        <v>93</v>
      </c>
      <c r="D31" s="171" t="s">
        <v>501</v>
      </c>
      <c r="E31" s="175" t="s">
        <v>502</v>
      </c>
      <c r="F31" s="171" t="s">
        <v>511</v>
      </c>
      <c r="G31" s="175" t="s">
        <v>504</v>
      </c>
      <c r="H31" s="171" t="s">
        <v>505</v>
      </c>
      <c r="I31" s="175" t="s">
        <v>506</v>
      </c>
    </row>
    <row r="32" customFormat="false" ht="19.5" hidden="false" customHeight="true" outlineLevel="0" collapsed="false">
      <c r="A32" s="178" t="s">
        <v>512</v>
      </c>
      <c r="B32" s="179" t="s">
        <v>513</v>
      </c>
      <c r="C32" s="180" t="s">
        <v>93</v>
      </c>
      <c r="D32" s="171" t="s">
        <v>503</v>
      </c>
      <c r="E32" s="175" t="s">
        <v>502</v>
      </c>
      <c r="F32" s="171" t="s">
        <v>511</v>
      </c>
      <c r="G32" s="175" t="s">
        <v>504</v>
      </c>
      <c r="H32" s="171" t="s">
        <v>505</v>
      </c>
      <c r="I32" s="175" t="s">
        <v>506</v>
      </c>
    </row>
    <row r="33" customFormat="false" ht="19.5" hidden="false" customHeight="true" outlineLevel="0" collapsed="false">
      <c r="A33" s="178" t="s">
        <v>514</v>
      </c>
      <c r="B33" s="179" t="s">
        <v>515</v>
      </c>
      <c r="C33" s="180" t="s">
        <v>93</v>
      </c>
      <c r="D33" s="171" t="s">
        <v>503</v>
      </c>
      <c r="E33" s="175" t="s">
        <v>502</v>
      </c>
      <c r="F33" s="171" t="s">
        <v>516</v>
      </c>
      <c r="G33" s="175" t="s">
        <v>504</v>
      </c>
      <c r="H33" s="171" t="s">
        <v>505</v>
      </c>
      <c r="I33" s="175" t="s">
        <v>506</v>
      </c>
    </row>
    <row r="34" customFormat="false" ht="19.5" hidden="false" customHeight="true" outlineLevel="0" collapsed="false">
      <c r="A34" s="155" t="s">
        <v>517</v>
      </c>
      <c r="B34" s="181" t="s">
        <v>518</v>
      </c>
      <c r="C34" s="182" t="s">
        <v>97</v>
      </c>
      <c r="D34" s="171" t="s">
        <v>519</v>
      </c>
      <c r="E34" s="175" t="s">
        <v>520</v>
      </c>
      <c r="F34" s="171" t="s">
        <v>521</v>
      </c>
      <c r="G34" s="175" t="s">
        <v>522</v>
      </c>
      <c r="H34" s="171" t="s">
        <v>523</v>
      </c>
      <c r="I34" s="175" t="s">
        <v>524</v>
      </c>
    </row>
    <row r="35" customFormat="false" ht="19.5" hidden="false" customHeight="true" outlineLevel="0" collapsed="false">
      <c r="A35" s="155" t="s">
        <v>525</v>
      </c>
      <c r="B35" s="181" t="s">
        <v>526</v>
      </c>
      <c r="C35" s="182" t="s">
        <v>97</v>
      </c>
      <c r="D35" s="171" t="s">
        <v>519</v>
      </c>
      <c r="E35" s="175" t="s">
        <v>520</v>
      </c>
      <c r="F35" s="171" t="s">
        <v>521</v>
      </c>
      <c r="G35" s="175" t="s">
        <v>522</v>
      </c>
      <c r="H35" s="171" t="s">
        <v>523</v>
      </c>
      <c r="I35" s="175" t="s">
        <v>524</v>
      </c>
    </row>
    <row r="36" customFormat="false" ht="19.5" hidden="false" customHeight="true" outlineLevel="0" collapsed="false">
      <c r="A36" s="155" t="s">
        <v>527</v>
      </c>
      <c r="B36" s="181" t="s">
        <v>528</v>
      </c>
      <c r="C36" s="182" t="s">
        <v>97</v>
      </c>
      <c r="D36" s="171" t="s">
        <v>519</v>
      </c>
      <c r="E36" s="175" t="s">
        <v>520</v>
      </c>
      <c r="F36" s="171" t="s">
        <v>529</v>
      </c>
      <c r="G36" s="175" t="s">
        <v>522</v>
      </c>
      <c r="H36" s="171" t="s">
        <v>523</v>
      </c>
      <c r="I36" s="175" t="s">
        <v>524</v>
      </c>
    </row>
    <row r="37" customFormat="false" ht="19.5" hidden="false" customHeight="true" outlineLevel="0" collapsed="false">
      <c r="A37" s="155" t="s">
        <v>530</v>
      </c>
      <c r="B37" s="181" t="s">
        <v>531</v>
      </c>
      <c r="C37" s="182" t="s">
        <v>97</v>
      </c>
      <c r="D37" s="171" t="s">
        <v>521</v>
      </c>
      <c r="E37" s="175" t="s">
        <v>520</v>
      </c>
      <c r="F37" s="171" t="s">
        <v>529</v>
      </c>
      <c r="G37" s="175" t="s">
        <v>522</v>
      </c>
      <c r="H37" s="171" t="s">
        <v>523</v>
      </c>
      <c r="I37" s="175" t="s">
        <v>524</v>
      </c>
    </row>
    <row r="38" customFormat="false" ht="19.5" hidden="false" customHeight="true" outlineLevel="0" collapsed="false">
      <c r="A38" s="155" t="s">
        <v>532</v>
      </c>
      <c r="B38" s="181" t="s">
        <v>533</v>
      </c>
      <c r="C38" s="182" t="s">
        <v>97</v>
      </c>
      <c r="D38" s="171" t="s">
        <v>521</v>
      </c>
      <c r="E38" s="175" t="s">
        <v>520</v>
      </c>
      <c r="F38" s="171" t="s">
        <v>534</v>
      </c>
      <c r="G38" s="175" t="s">
        <v>522</v>
      </c>
      <c r="H38" s="171" t="s">
        <v>523</v>
      </c>
      <c r="I38" s="175" t="s">
        <v>524</v>
      </c>
    </row>
    <row r="39" customFormat="false" ht="19.5" hidden="false" customHeight="true" outlineLevel="0" collapsed="false">
      <c r="A39" s="159" t="s">
        <v>535</v>
      </c>
      <c r="B39" s="183" t="s">
        <v>536</v>
      </c>
      <c r="C39" s="184" t="s">
        <v>101</v>
      </c>
      <c r="D39" s="171" t="s">
        <v>537</v>
      </c>
      <c r="E39" s="175" t="s">
        <v>538</v>
      </c>
      <c r="F39" s="171" t="s">
        <v>539</v>
      </c>
      <c r="G39" s="175" t="s">
        <v>540</v>
      </c>
      <c r="H39" s="171" t="s">
        <v>541</v>
      </c>
      <c r="I39" s="175" t="s">
        <v>542</v>
      </c>
    </row>
    <row r="40" customFormat="false" ht="19.5" hidden="false" customHeight="true" outlineLevel="0" collapsed="false">
      <c r="A40" s="159" t="s">
        <v>543</v>
      </c>
      <c r="B40" s="183" t="s">
        <v>544</v>
      </c>
      <c r="C40" s="184" t="s">
        <v>101</v>
      </c>
      <c r="D40" s="171" t="s">
        <v>537</v>
      </c>
      <c r="E40" s="175" t="s">
        <v>538</v>
      </c>
      <c r="F40" s="171" t="s">
        <v>539</v>
      </c>
      <c r="G40" s="175" t="s">
        <v>540</v>
      </c>
      <c r="H40" s="171" t="s">
        <v>541</v>
      </c>
      <c r="I40" s="175" t="s">
        <v>542</v>
      </c>
    </row>
    <row r="41" customFormat="false" ht="19.5" hidden="false" customHeight="true" outlineLevel="0" collapsed="false">
      <c r="A41" s="159" t="s">
        <v>545</v>
      </c>
      <c r="B41" s="183" t="s">
        <v>546</v>
      </c>
      <c r="C41" s="184" t="s">
        <v>101</v>
      </c>
      <c r="D41" s="171" t="s">
        <v>537</v>
      </c>
      <c r="E41" s="175" t="s">
        <v>538</v>
      </c>
      <c r="F41" s="171" t="s">
        <v>547</v>
      </c>
      <c r="G41" s="175" t="s">
        <v>540</v>
      </c>
      <c r="H41" s="171" t="s">
        <v>541</v>
      </c>
      <c r="I41" s="175" t="s">
        <v>542</v>
      </c>
    </row>
    <row r="42" customFormat="false" ht="19.5" hidden="false" customHeight="true" outlineLevel="0" collapsed="false">
      <c r="A42" s="159" t="s">
        <v>548</v>
      </c>
      <c r="B42" s="183" t="s">
        <v>549</v>
      </c>
      <c r="C42" s="184" t="s">
        <v>101</v>
      </c>
      <c r="D42" s="171" t="s">
        <v>539</v>
      </c>
      <c r="E42" s="175" t="s">
        <v>538</v>
      </c>
      <c r="F42" s="171" t="s">
        <v>547</v>
      </c>
      <c r="G42" s="175" t="s">
        <v>540</v>
      </c>
      <c r="H42" s="171" t="s">
        <v>541</v>
      </c>
      <c r="I42" s="175" t="s">
        <v>542</v>
      </c>
    </row>
    <row r="43" customFormat="false" ht="19.5" hidden="false" customHeight="true" outlineLevel="0" collapsed="false">
      <c r="A43" s="159" t="s">
        <v>550</v>
      </c>
      <c r="B43" s="183" t="s">
        <v>551</v>
      </c>
      <c r="C43" s="184" t="s">
        <v>101</v>
      </c>
      <c r="D43" s="171" t="s">
        <v>539</v>
      </c>
      <c r="E43" s="175" t="s">
        <v>538</v>
      </c>
      <c r="F43" s="171" t="s">
        <v>552</v>
      </c>
      <c r="G43" s="175" t="s">
        <v>540</v>
      </c>
      <c r="H43" s="171" t="s">
        <v>541</v>
      </c>
      <c r="I43" s="175" t="s">
        <v>542</v>
      </c>
    </row>
    <row r="44" customFormat="false" ht="19.5" hidden="false" customHeight="true" outlineLevel="0" collapsed="false">
      <c r="A44" s="185" t="s">
        <v>553</v>
      </c>
      <c r="B44" s="186" t="s">
        <v>554</v>
      </c>
      <c r="C44" s="187" t="s">
        <v>105</v>
      </c>
      <c r="D44" s="171" t="s">
        <v>555</v>
      </c>
      <c r="E44" s="175" t="s">
        <v>556</v>
      </c>
      <c r="F44" s="171" t="s">
        <v>557</v>
      </c>
      <c r="G44" s="175" t="s">
        <v>558</v>
      </c>
      <c r="H44" s="171" t="s">
        <v>559</v>
      </c>
      <c r="I44" s="175" t="s">
        <v>560</v>
      </c>
    </row>
    <row r="45" customFormat="false" ht="19.5" hidden="false" customHeight="true" outlineLevel="0" collapsed="false">
      <c r="A45" s="185" t="s">
        <v>561</v>
      </c>
      <c r="B45" s="186" t="s">
        <v>562</v>
      </c>
      <c r="C45" s="187" t="s">
        <v>105</v>
      </c>
      <c r="D45" s="171" t="s">
        <v>555</v>
      </c>
      <c r="E45" s="175" t="s">
        <v>556</v>
      </c>
      <c r="F45" s="171" t="s">
        <v>557</v>
      </c>
      <c r="G45" s="175" t="s">
        <v>558</v>
      </c>
      <c r="H45" s="171" t="s">
        <v>559</v>
      </c>
      <c r="I45" s="175" t="s">
        <v>560</v>
      </c>
    </row>
    <row r="46" customFormat="false" ht="19.5" hidden="false" customHeight="true" outlineLevel="0" collapsed="false">
      <c r="A46" s="185" t="s">
        <v>563</v>
      </c>
      <c r="B46" s="186" t="s">
        <v>564</v>
      </c>
      <c r="C46" s="187" t="s">
        <v>105</v>
      </c>
      <c r="D46" s="171" t="s">
        <v>555</v>
      </c>
      <c r="E46" s="175" t="s">
        <v>556</v>
      </c>
      <c r="F46" s="171" t="s">
        <v>565</v>
      </c>
      <c r="G46" s="175" t="s">
        <v>558</v>
      </c>
      <c r="H46" s="171" t="s">
        <v>559</v>
      </c>
      <c r="I46" s="175" t="s">
        <v>560</v>
      </c>
    </row>
    <row r="47" customFormat="false" ht="19.5" hidden="false" customHeight="true" outlineLevel="0" collapsed="false">
      <c r="A47" s="185" t="s">
        <v>566</v>
      </c>
      <c r="B47" s="186" t="s">
        <v>567</v>
      </c>
      <c r="C47" s="187" t="s">
        <v>105</v>
      </c>
      <c r="D47" s="171" t="s">
        <v>557</v>
      </c>
      <c r="E47" s="175" t="s">
        <v>556</v>
      </c>
      <c r="F47" s="171" t="s">
        <v>565</v>
      </c>
      <c r="G47" s="175" t="s">
        <v>558</v>
      </c>
      <c r="H47" s="171" t="s">
        <v>559</v>
      </c>
      <c r="I47" s="175" t="s">
        <v>560</v>
      </c>
    </row>
    <row r="48" customFormat="false" ht="19.5" hidden="false" customHeight="true" outlineLevel="0" collapsed="false">
      <c r="A48" s="185" t="s">
        <v>568</v>
      </c>
      <c r="B48" s="186" t="s">
        <v>569</v>
      </c>
      <c r="C48" s="187" t="s">
        <v>105</v>
      </c>
      <c r="D48" s="171" t="s">
        <v>557</v>
      </c>
      <c r="E48" s="175" t="s">
        <v>556</v>
      </c>
      <c r="F48" s="171" t="s">
        <v>570</v>
      </c>
      <c r="G48" s="175" t="s">
        <v>558</v>
      </c>
      <c r="H48" s="171" t="s">
        <v>559</v>
      </c>
      <c r="I48" s="175" t="s">
        <v>560</v>
      </c>
    </row>
    <row r="49" customFormat="false" ht="19.5" hidden="false" customHeight="true" outlineLevel="0" collapsed="false">
      <c r="A49" s="169" t="s">
        <v>571</v>
      </c>
      <c r="B49" s="170" t="s">
        <v>572</v>
      </c>
      <c r="C49" s="60" t="s">
        <v>80</v>
      </c>
      <c r="D49" s="171" t="s">
        <v>428</v>
      </c>
      <c r="E49" s="172" t="s">
        <v>429</v>
      </c>
      <c r="F49" s="171" t="s">
        <v>83</v>
      </c>
      <c r="G49" s="172" t="s">
        <v>83</v>
      </c>
      <c r="H49" s="171" t="s">
        <v>83</v>
      </c>
      <c r="I49" s="172" t="s">
        <v>83</v>
      </c>
    </row>
    <row r="50" customFormat="false" ht="19.5" hidden="false" customHeight="true" outlineLevel="0" collapsed="false">
      <c r="A50" s="169" t="s">
        <v>573</v>
      </c>
      <c r="B50" s="170" t="s">
        <v>574</v>
      </c>
      <c r="C50" s="60" t="s">
        <v>80</v>
      </c>
      <c r="D50" s="171" t="s">
        <v>575</v>
      </c>
      <c r="E50" s="172" t="s">
        <v>429</v>
      </c>
      <c r="F50" s="171" t="s">
        <v>83</v>
      </c>
      <c r="G50" s="172" t="s">
        <v>83</v>
      </c>
      <c r="H50" s="171" t="s">
        <v>83</v>
      </c>
      <c r="I50" s="172" t="s">
        <v>83</v>
      </c>
    </row>
    <row r="51" customFormat="false" ht="19.5" hidden="false" customHeight="true" outlineLevel="0" collapsed="false">
      <c r="A51" s="169" t="s">
        <v>576</v>
      </c>
      <c r="B51" s="170" t="s">
        <v>577</v>
      </c>
      <c r="C51" s="60" t="s">
        <v>80</v>
      </c>
      <c r="D51" s="171" t="s">
        <v>578</v>
      </c>
      <c r="E51" s="172" t="s">
        <v>429</v>
      </c>
      <c r="F51" s="171" t="s">
        <v>83</v>
      </c>
      <c r="G51" s="172" t="s">
        <v>83</v>
      </c>
      <c r="H51" s="171" t="s">
        <v>83</v>
      </c>
      <c r="I51" s="172" t="s">
        <v>83</v>
      </c>
    </row>
    <row r="52" customFormat="false" ht="19.5" hidden="false" customHeight="true" outlineLevel="0" collapsed="false">
      <c r="A52" s="169" t="s">
        <v>579</v>
      </c>
      <c r="B52" s="170" t="s">
        <v>580</v>
      </c>
      <c r="C52" s="60" t="s">
        <v>80</v>
      </c>
      <c r="D52" s="171" t="s">
        <v>428</v>
      </c>
      <c r="E52" s="172" t="s">
        <v>429</v>
      </c>
      <c r="F52" s="171" t="s">
        <v>83</v>
      </c>
      <c r="G52" s="172" t="s">
        <v>83</v>
      </c>
      <c r="H52" s="171" t="s">
        <v>83</v>
      </c>
      <c r="I52" s="172" t="s">
        <v>83</v>
      </c>
    </row>
    <row r="53" customFormat="false" ht="19.5" hidden="false" customHeight="true" outlineLevel="0" collapsed="false">
      <c r="A53" s="169" t="s">
        <v>581</v>
      </c>
      <c r="B53" s="170" t="s">
        <v>582</v>
      </c>
      <c r="C53" s="60" t="s">
        <v>80</v>
      </c>
      <c r="D53" s="171" t="s">
        <v>575</v>
      </c>
      <c r="E53" s="172" t="s">
        <v>429</v>
      </c>
      <c r="F53" s="171" t="s">
        <v>83</v>
      </c>
      <c r="G53" s="172" t="s">
        <v>83</v>
      </c>
      <c r="H53" s="171" t="s">
        <v>83</v>
      </c>
      <c r="I53" s="172" t="s">
        <v>83</v>
      </c>
    </row>
    <row r="54" customFormat="false" ht="19.5" hidden="false" customHeight="true" outlineLevel="0" collapsed="false">
      <c r="A54" s="169" t="s">
        <v>583</v>
      </c>
      <c r="B54" s="170" t="s">
        <v>584</v>
      </c>
      <c r="C54" s="60" t="s">
        <v>80</v>
      </c>
      <c r="D54" s="171" t="s">
        <v>578</v>
      </c>
      <c r="E54" s="172" t="s">
        <v>429</v>
      </c>
      <c r="F54" s="171" t="s">
        <v>83</v>
      </c>
      <c r="G54" s="172" t="s">
        <v>83</v>
      </c>
      <c r="H54" s="171" t="s">
        <v>83</v>
      </c>
      <c r="I54" s="172" t="s">
        <v>83</v>
      </c>
    </row>
    <row r="55" customFormat="false" ht="19.5" hidden="false" customHeight="true" outlineLevel="0" collapsed="false">
      <c r="A55" s="169" t="s">
        <v>585</v>
      </c>
      <c r="B55" s="170" t="s">
        <v>586</v>
      </c>
      <c r="C55" s="60" t="s">
        <v>80</v>
      </c>
      <c r="D55" s="171" t="s">
        <v>428</v>
      </c>
      <c r="E55" s="172" t="s">
        <v>429</v>
      </c>
      <c r="F55" s="171" t="s">
        <v>83</v>
      </c>
      <c r="G55" s="172" t="s">
        <v>83</v>
      </c>
      <c r="H55" s="171" t="s">
        <v>83</v>
      </c>
      <c r="I55" s="172" t="s">
        <v>83</v>
      </c>
    </row>
    <row r="56" customFormat="false" ht="19.5" hidden="false" customHeight="true" outlineLevel="0" collapsed="false">
      <c r="A56" s="169" t="s">
        <v>587</v>
      </c>
      <c r="B56" s="170" t="s">
        <v>588</v>
      </c>
      <c r="C56" s="60" t="s">
        <v>80</v>
      </c>
      <c r="D56" s="171" t="s">
        <v>575</v>
      </c>
      <c r="E56" s="172" t="s">
        <v>429</v>
      </c>
      <c r="F56" s="171" t="s">
        <v>83</v>
      </c>
      <c r="G56" s="172" t="s">
        <v>83</v>
      </c>
      <c r="H56" s="171" t="s">
        <v>83</v>
      </c>
      <c r="I56" s="172" t="s">
        <v>83</v>
      </c>
    </row>
    <row r="57" customFormat="false" ht="19.5" hidden="false" customHeight="true" outlineLevel="0" collapsed="false">
      <c r="A57" s="169" t="s">
        <v>589</v>
      </c>
      <c r="B57" s="170" t="s">
        <v>590</v>
      </c>
      <c r="C57" s="60" t="s">
        <v>80</v>
      </c>
      <c r="D57" s="171" t="s">
        <v>578</v>
      </c>
      <c r="E57" s="172" t="s">
        <v>429</v>
      </c>
      <c r="F57" s="171" t="s">
        <v>83</v>
      </c>
      <c r="G57" s="172" t="s">
        <v>83</v>
      </c>
      <c r="H57" s="171" t="s">
        <v>83</v>
      </c>
      <c r="I57" s="172" t="s">
        <v>83</v>
      </c>
    </row>
    <row r="58" customFormat="false" ht="19.5" hidden="false" customHeight="true" outlineLevel="0" collapsed="false">
      <c r="A58" s="169" t="s">
        <v>591</v>
      </c>
      <c r="B58" s="170" t="s">
        <v>592</v>
      </c>
      <c r="C58" s="60" t="s">
        <v>80</v>
      </c>
      <c r="D58" s="171" t="s">
        <v>428</v>
      </c>
      <c r="E58" s="172" t="s">
        <v>429</v>
      </c>
      <c r="F58" s="171" t="s">
        <v>83</v>
      </c>
      <c r="G58" s="172" t="s">
        <v>83</v>
      </c>
      <c r="H58" s="171" t="s">
        <v>83</v>
      </c>
      <c r="I58" s="172" t="s">
        <v>83</v>
      </c>
    </row>
    <row r="59" customFormat="false" ht="19.5" hidden="false" customHeight="true" outlineLevel="0" collapsed="false">
      <c r="A59" s="169" t="s">
        <v>593</v>
      </c>
      <c r="B59" s="170" t="s">
        <v>594</v>
      </c>
      <c r="C59" s="60" t="s">
        <v>80</v>
      </c>
      <c r="D59" s="171" t="s">
        <v>575</v>
      </c>
      <c r="E59" s="172" t="s">
        <v>429</v>
      </c>
      <c r="F59" s="171" t="s">
        <v>83</v>
      </c>
      <c r="G59" s="172" t="s">
        <v>83</v>
      </c>
      <c r="H59" s="171" t="s">
        <v>83</v>
      </c>
      <c r="I59" s="172" t="s">
        <v>83</v>
      </c>
    </row>
    <row r="60" customFormat="false" ht="19.5" hidden="false" customHeight="true" outlineLevel="0" collapsed="false">
      <c r="A60" s="169" t="s">
        <v>595</v>
      </c>
      <c r="B60" s="170" t="s">
        <v>596</v>
      </c>
      <c r="C60" s="60" t="s">
        <v>80</v>
      </c>
      <c r="D60" s="171" t="s">
        <v>578</v>
      </c>
      <c r="E60" s="172" t="s">
        <v>429</v>
      </c>
      <c r="F60" s="171" t="s">
        <v>83</v>
      </c>
      <c r="G60" s="172" t="s">
        <v>83</v>
      </c>
      <c r="H60" s="171" t="s">
        <v>83</v>
      </c>
      <c r="I60" s="172" t="s">
        <v>83</v>
      </c>
    </row>
    <row r="61" customFormat="false" ht="19.5" hidden="false" customHeight="true" outlineLevel="0" collapsed="false">
      <c r="A61" s="169" t="s">
        <v>597</v>
      </c>
      <c r="B61" s="170" t="s">
        <v>598</v>
      </c>
      <c r="C61" s="60" t="s">
        <v>80</v>
      </c>
      <c r="D61" s="171" t="s">
        <v>428</v>
      </c>
      <c r="E61" s="175" t="s">
        <v>599</v>
      </c>
      <c r="F61" s="171" t="s">
        <v>600</v>
      </c>
      <c r="G61" s="175" t="s">
        <v>601</v>
      </c>
      <c r="H61" s="171" t="s">
        <v>83</v>
      </c>
      <c r="I61" s="172" t="s">
        <v>83</v>
      </c>
    </row>
    <row r="62" customFormat="false" ht="19.5" hidden="false" customHeight="true" outlineLevel="0" collapsed="false">
      <c r="A62" s="169" t="s">
        <v>602</v>
      </c>
      <c r="B62" s="170" t="s">
        <v>603</v>
      </c>
      <c r="C62" s="60" t="s">
        <v>80</v>
      </c>
      <c r="D62" s="171" t="s">
        <v>575</v>
      </c>
      <c r="E62" s="175" t="s">
        <v>599</v>
      </c>
      <c r="F62" s="171" t="s">
        <v>600</v>
      </c>
      <c r="G62" s="175" t="s">
        <v>601</v>
      </c>
      <c r="H62" s="171" t="s">
        <v>83</v>
      </c>
      <c r="I62" s="172" t="s">
        <v>83</v>
      </c>
    </row>
    <row r="63" customFormat="false" ht="19.5" hidden="false" customHeight="true" outlineLevel="0" collapsed="false">
      <c r="A63" s="169" t="s">
        <v>604</v>
      </c>
      <c r="B63" s="170" t="s">
        <v>605</v>
      </c>
      <c r="C63" s="60" t="s">
        <v>80</v>
      </c>
      <c r="D63" s="171" t="s">
        <v>578</v>
      </c>
      <c r="E63" s="175" t="s">
        <v>599</v>
      </c>
      <c r="F63" s="171" t="s">
        <v>600</v>
      </c>
      <c r="G63" s="175" t="s">
        <v>601</v>
      </c>
      <c r="H63" s="171" t="s">
        <v>83</v>
      </c>
      <c r="I63" s="172" t="s">
        <v>83</v>
      </c>
    </row>
    <row r="64" customFormat="false" ht="19.5" hidden="false" customHeight="true" outlineLevel="0" collapsed="false">
      <c r="A64" s="169" t="s">
        <v>606</v>
      </c>
      <c r="B64" s="170" t="s">
        <v>607</v>
      </c>
      <c r="C64" s="60" t="s">
        <v>80</v>
      </c>
      <c r="D64" s="171" t="s">
        <v>428</v>
      </c>
      <c r="E64" s="175" t="s">
        <v>599</v>
      </c>
      <c r="F64" s="171" t="s">
        <v>600</v>
      </c>
      <c r="G64" s="175" t="s">
        <v>601</v>
      </c>
      <c r="H64" s="171" t="s">
        <v>83</v>
      </c>
      <c r="I64" s="172" t="s">
        <v>83</v>
      </c>
    </row>
    <row r="65" customFormat="false" ht="19.5" hidden="false" customHeight="true" outlineLevel="0" collapsed="false">
      <c r="A65" s="169" t="s">
        <v>608</v>
      </c>
      <c r="B65" s="170" t="s">
        <v>609</v>
      </c>
      <c r="C65" s="60" t="s">
        <v>80</v>
      </c>
      <c r="D65" s="171" t="s">
        <v>575</v>
      </c>
      <c r="E65" s="175" t="s">
        <v>599</v>
      </c>
      <c r="F65" s="171" t="s">
        <v>600</v>
      </c>
      <c r="G65" s="175" t="s">
        <v>601</v>
      </c>
      <c r="H65" s="171" t="s">
        <v>83</v>
      </c>
      <c r="I65" s="172" t="s">
        <v>83</v>
      </c>
    </row>
    <row r="66" customFormat="false" ht="19.5" hidden="false" customHeight="true" outlineLevel="0" collapsed="false">
      <c r="A66" s="169" t="s">
        <v>610</v>
      </c>
      <c r="B66" s="170" t="s">
        <v>611</v>
      </c>
      <c r="C66" s="60" t="s">
        <v>80</v>
      </c>
      <c r="D66" s="171" t="s">
        <v>578</v>
      </c>
      <c r="E66" s="175" t="s">
        <v>599</v>
      </c>
      <c r="F66" s="171" t="s">
        <v>600</v>
      </c>
      <c r="G66" s="175" t="s">
        <v>601</v>
      </c>
      <c r="H66" s="171" t="s">
        <v>83</v>
      </c>
      <c r="I66" s="172" t="s">
        <v>83</v>
      </c>
    </row>
    <row r="67" customFormat="false" ht="19.5" hidden="false" customHeight="true" outlineLevel="0" collapsed="false">
      <c r="A67" s="169" t="s">
        <v>612</v>
      </c>
      <c r="B67" s="170" t="s">
        <v>613</v>
      </c>
      <c r="C67" s="60" t="s">
        <v>80</v>
      </c>
      <c r="D67" s="171" t="s">
        <v>428</v>
      </c>
      <c r="E67" s="175" t="s">
        <v>599</v>
      </c>
      <c r="F67" s="171" t="s">
        <v>600</v>
      </c>
      <c r="G67" s="175" t="s">
        <v>601</v>
      </c>
      <c r="H67" s="171" t="s">
        <v>83</v>
      </c>
      <c r="I67" s="172" t="s">
        <v>83</v>
      </c>
    </row>
    <row r="68" customFormat="false" ht="19.5" hidden="false" customHeight="true" outlineLevel="0" collapsed="false">
      <c r="A68" s="169" t="s">
        <v>614</v>
      </c>
      <c r="B68" s="170" t="s">
        <v>615</v>
      </c>
      <c r="C68" s="60" t="s">
        <v>80</v>
      </c>
      <c r="D68" s="171" t="s">
        <v>575</v>
      </c>
      <c r="E68" s="175" t="s">
        <v>599</v>
      </c>
      <c r="F68" s="171" t="s">
        <v>600</v>
      </c>
      <c r="G68" s="175" t="s">
        <v>601</v>
      </c>
      <c r="H68" s="171" t="s">
        <v>83</v>
      </c>
      <c r="I68" s="172" t="s">
        <v>83</v>
      </c>
    </row>
    <row r="69" customFormat="false" ht="19.5" hidden="false" customHeight="true" outlineLevel="0" collapsed="false">
      <c r="A69" s="169" t="s">
        <v>616</v>
      </c>
      <c r="B69" s="170" t="s">
        <v>617</v>
      </c>
      <c r="C69" s="60" t="s">
        <v>80</v>
      </c>
      <c r="D69" s="171" t="s">
        <v>578</v>
      </c>
      <c r="E69" s="175" t="s">
        <v>599</v>
      </c>
      <c r="F69" s="171" t="s">
        <v>600</v>
      </c>
      <c r="G69" s="175" t="s">
        <v>601</v>
      </c>
      <c r="H69" s="171" t="s">
        <v>83</v>
      </c>
      <c r="I69" s="172" t="s">
        <v>83</v>
      </c>
    </row>
    <row r="70" customFormat="false" ht="19.5" hidden="false" customHeight="true" outlineLevel="0" collapsed="false">
      <c r="A70" s="169" t="s">
        <v>618</v>
      </c>
      <c r="B70" s="170" t="s">
        <v>619</v>
      </c>
      <c r="C70" s="60" t="s">
        <v>80</v>
      </c>
      <c r="D70" s="171" t="s">
        <v>428</v>
      </c>
      <c r="E70" s="175" t="s">
        <v>599</v>
      </c>
      <c r="F70" s="171" t="s">
        <v>600</v>
      </c>
      <c r="G70" s="175" t="s">
        <v>601</v>
      </c>
      <c r="H70" s="171" t="s">
        <v>83</v>
      </c>
      <c r="I70" s="172" t="s">
        <v>83</v>
      </c>
    </row>
    <row r="71" customFormat="false" ht="19.5" hidden="false" customHeight="true" outlineLevel="0" collapsed="false">
      <c r="A71" s="169" t="s">
        <v>620</v>
      </c>
      <c r="B71" s="170" t="s">
        <v>621</v>
      </c>
      <c r="C71" s="60" t="s">
        <v>80</v>
      </c>
      <c r="D71" s="171" t="s">
        <v>575</v>
      </c>
      <c r="E71" s="175" t="s">
        <v>599</v>
      </c>
      <c r="F71" s="171" t="s">
        <v>600</v>
      </c>
      <c r="G71" s="175" t="s">
        <v>601</v>
      </c>
      <c r="H71" s="171" t="s">
        <v>83</v>
      </c>
      <c r="I71" s="172" t="s">
        <v>83</v>
      </c>
    </row>
    <row r="72" customFormat="false" ht="19.5" hidden="false" customHeight="true" outlineLevel="0" collapsed="false">
      <c r="A72" s="169" t="s">
        <v>622</v>
      </c>
      <c r="B72" s="170" t="s">
        <v>623</v>
      </c>
      <c r="C72" s="60" t="s">
        <v>80</v>
      </c>
      <c r="D72" s="171" t="s">
        <v>578</v>
      </c>
      <c r="E72" s="175" t="s">
        <v>599</v>
      </c>
      <c r="F72" s="171" t="s">
        <v>600</v>
      </c>
      <c r="G72" s="175" t="s">
        <v>601</v>
      </c>
      <c r="H72" s="171" t="s">
        <v>83</v>
      </c>
      <c r="I72" s="172" t="s">
        <v>83</v>
      </c>
    </row>
    <row r="73" customFormat="false" ht="19.5" hidden="false" customHeight="true" outlineLevel="0" collapsed="false">
      <c r="A73" s="173" t="s">
        <v>624</v>
      </c>
      <c r="B73" s="174" t="s">
        <v>625</v>
      </c>
      <c r="C73" s="67" t="s">
        <v>85</v>
      </c>
      <c r="D73" s="171" t="s">
        <v>441</v>
      </c>
      <c r="E73" s="175" t="s">
        <v>626</v>
      </c>
      <c r="F73" s="171" t="s">
        <v>627</v>
      </c>
      <c r="G73" s="175" t="s">
        <v>460</v>
      </c>
      <c r="H73" s="171" t="s">
        <v>83</v>
      </c>
      <c r="I73" s="172" t="s">
        <v>83</v>
      </c>
    </row>
    <row r="74" customFormat="false" ht="19.5" hidden="false" customHeight="true" outlineLevel="0" collapsed="false">
      <c r="A74" s="173" t="s">
        <v>628</v>
      </c>
      <c r="B74" s="174" t="s">
        <v>629</v>
      </c>
      <c r="C74" s="67" t="s">
        <v>85</v>
      </c>
      <c r="D74" s="171" t="s">
        <v>451</v>
      </c>
      <c r="E74" s="175" t="s">
        <v>626</v>
      </c>
      <c r="F74" s="171" t="s">
        <v>627</v>
      </c>
      <c r="G74" s="175" t="s">
        <v>460</v>
      </c>
      <c r="H74" s="171" t="s">
        <v>83</v>
      </c>
      <c r="I74" s="172" t="s">
        <v>83</v>
      </c>
    </row>
    <row r="75" customFormat="false" ht="19.5" hidden="false" customHeight="true" outlineLevel="0" collapsed="false">
      <c r="A75" s="173" t="s">
        <v>630</v>
      </c>
      <c r="B75" s="174" t="s">
        <v>631</v>
      </c>
      <c r="C75" s="67" t="s">
        <v>85</v>
      </c>
      <c r="D75" s="171" t="s">
        <v>456</v>
      </c>
      <c r="E75" s="175" t="s">
        <v>626</v>
      </c>
      <c r="F75" s="171" t="s">
        <v>627</v>
      </c>
      <c r="G75" s="175" t="s">
        <v>460</v>
      </c>
      <c r="H75" s="171" t="s">
        <v>83</v>
      </c>
      <c r="I75" s="172" t="s">
        <v>83</v>
      </c>
    </row>
    <row r="76" customFormat="false" ht="19.5" hidden="false" customHeight="true" outlineLevel="0" collapsed="false">
      <c r="A76" s="173" t="s">
        <v>632</v>
      </c>
      <c r="B76" s="174" t="s">
        <v>633</v>
      </c>
      <c r="C76" s="67" t="s">
        <v>85</v>
      </c>
      <c r="D76" s="171" t="s">
        <v>441</v>
      </c>
      <c r="E76" s="175" t="s">
        <v>626</v>
      </c>
      <c r="F76" s="171" t="s">
        <v>627</v>
      </c>
      <c r="G76" s="175" t="s">
        <v>460</v>
      </c>
      <c r="H76" s="171" t="s">
        <v>83</v>
      </c>
      <c r="I76" s="172" t="s">
        <v>83</v>
      </c>
    </row>
    <row r="77" customFormat="false" ht="19.5" hidden="false" customHeight="true" outlineLevel="0" collapsed="false">
      <c r="A77" s="173" t="s">
        <v>634</v>
      </c>
      <c r="B77" s="174" t="s">
        <v>635</v>
      </c>
      <c r="C77" s="67" t="s">
        <v>85</v>
      </c>
      <c r="D77" s="171" t="s">
        <v>451</v>
      </c>
      <c r="E77" s="175" t="s">
        <v>626</v>
      </c>
      <c r="F77" s="171" t="s">
        <v>627</v>
      </c>
      <c r="G77" s="175" t="s">
        <v>460</v>
      </c>
      <c r="H77" s="171" t="s">
        <v>83</v>
      </c>
      <c r="I77" s="172" t="s">
        <v>83</v>
      </c>
    </row>
    <row r="78" customFormat="false" ht="19.5" hidden="false" customHeight="true" outlineLevel="0" collapsed="false">
      <c r="A78" s="173" t="s">
        <v>636</v>
      </c>
      <c r="B78" s="174" t="s">
        <v>637</v>
      </c>
      <c r="C78" s="67" t="s">
        <v>85</v>
      </c>
      <c r="D78" s="171" t="s">
        <v>456</v>
      </c>
      <c r="E78" s="175" t="s">
        <v>626</v>
      </c>
      <c r="F78" s="171" t="s">
        <v>627</v>
      </c>
      <c r="G78" s="175" t="s">
        <v>460</v>
      </c>
      <c r="H78" s="171" t="s">
        <v>83</v>
      </c>
      <c r="I78" s="172" t="s">
        <v>83</v>
      </c>
    </row>
    <row r="79" customFormat="false" ht="19.5" hidden="false" customHeight="true" outlineLevel="0" collapsed="false">
      <c r="A79" s="173" t="s">
        <v>638</v>
      </c>
      <c r="B79" s="174" t="s">
        <v>639</v>
      </c>
      <c r="C79" s="67" t="s">
        <v>85</v>
      </c>
      <c r="D79" s="171" t="s">
        <v>441</v>
      </c>
      <c r="E79" s="175" t="s">
        <v>626</v>
      </c>
      <c r="F79" s="171" t="s">
        <v>627</v>
      </c>
      <c r="G79" s="175" t="s">
        <v>460</v>
      </c>
      <c r="H79" s="171" t="s">
        <v>83</v>
      </c>
      <c r="I79" s="172" t="s">
        <v>83</v>
      </c>
    </row>
    <row r="80" customFormat="false" ht="19.5" hidden="false" customHeight="true" outlineLevel="0" collapsed="false">
      <c r="A80" s="173" t="s">
        <v>640</v>
      </c>
      <c r="B80" s="174" t="s">
        <v>641</v>
      </c>
      <c r="C80" s="67" t="s">
        <v>85</v>
      </c>
      <c r="D80" s="171" t="s">
        <v>451</v>
      </c>
      <c r="E80" s="175" t="s">
        <v>626</v>
      </c>
      <c r="F80" s="171" t="s">
        <v>627</v>
      </c>
      <c r="G80" s="175" t="s">
        <v>460</v>
      </c>
      <c r="H80" s="171" t="s">
        <v>83</v>
      </c>
      <c r="I80" s="172" t="s">
        <v>83</v>
      </c>
    </row>
    <row r="81" customFormat="false" ht="19.5" hidden="false" customHeight="true" outlineLevel="0" collapsed="false">
      <c r="A81" s="173" t="s">
        <v>642</v>
      </c>
      <c r="B81" s="174" t="s">
        <v>643</v>
      </c>
      <c r="C81" s="67" t="s">
        <v>85</v>
      </c>
      <c r="D81" s="171" t="s">
        <v>456</v>
      </c>
      <c r="E81" s="175" t="s">
        <v>626</v>
      </c>
      <c r="F81" s="171" t="s">
        <v>627</v>
      </c>
      <c r="G81" s="175" t="s">
        <v>460</v>
      </c>
      <c r="H81" s="171" t="s">
        <v>83</v>
      </c>
      <c r="I81" s="172" t="s">
        <v>83</v>
      </c>
    </row>
    <row r="82" customFormat="false" ht="19.5" hidden="false" customHeight="true" outlineLevel="0" collapsed="false">
      <c r="A82" s="173" t="s">
        <v>644</v>
      </c>
      <c r="B82" s="174" t="s">
        <v>645</v>
      </c>
      <c r="C82" s="67" t="s">
        <v>85</v>
      </c>
      <c r="D82" s="171" t="s">
        <v>441</v>
      </c>
      <c r="E82" s="175" t="s">
        <v>626</v>
      </c>
      <c r="F82" s="171" t="s">
        <v>627</v>
      </c>
      <c r="G82" s="175" t="s">
        <v>460</v>
      </c>
      <c r="H82" s="171" t="s">
        <v>83</v>
      </c>
      <c r="I82" s="172" t="s">
        <v>83</v>
      </c>
    </row>
    <row r="83" customFormat="false" ht="19.5" hidden="false" customHeight="true" outlineLevel="0" collapsed="false">
      <c r="A83" s="173" t="s">
        <v>646</v>
      </c>
      <c r="B83" s="174" t="s">
        <v>647</v>
      </c>
      <c r="C83" s="67" t="s">
        <v>85</v>
      </c>
      <c r="D83" s="171" t="s">
        <v>451</v>
      </c>
      <c r="E83" s="175" t="s">
        <v>626</v>
      </c>
      <c r="F83" s="171" t="s">
        <v>627</v>
      </c>
      <c r="G83" s="175" t="s">
        <v>460</v>
      </c>
      <c r="H83" s="171" t="s">
        <v>83</v>
      </c>
      <c r="I83" s="172" t="s">
        <v>83</v>
      </c>
    </row>
    <row r="84" customFormat="false" ht="19.5" hidden="false" customHeight="true" outlineLevel="0" collapsed="false">
      <c r="A84" s="173" t="s">
        <v>648</v>
      </c>
      <c r="B84" s="174" t="s">
        <v>649</v>
      </c>
      <c r="C84" s="67" t="s">
        <v>85</v>
      </c>
      <c r="D84" s="171" t="s">
        <v>456</v>
      </c>
      <c r="E84" s="175" t="s">
        <v>626</v>
      </c>
      <c r="F84" s="171" t="s">
        <v>627</v>
      </c>
      <c r="G84" s="175" t="s">
        <v>460</v>
      </c>
      <c r="H84" s="171" t="s">
        <v>83</v>
      </c>
      <c r="I84" s="172" t="s">
        <v>83</v>
      </c>
    </row>
    <row r="85" customFormat="false" ht="19.5" hidden="false" customHeight="true" outlineLevel="0" collapsed="false">
      <c r="A85" s="173" t="s">
        <v>650</v>
      </c>
      <c r="B85" s="174" t="s">
        <v>651</v>
      </c>
      <c r="C85" s="67" t="s">
        <v>85</v>
      </c>
      <c r="D85" s="171" t="s">
        <v>441</v>
      </c>
      <c r="E85" s="175" t="s">
        <v>626</v>
      </c>
      <c r="F85" s="171" t="s">
        <v>652</v>
      </c>
      <c r="G85" s="175" t="s">
        <v>653</v>
      </c>
      <c r="H85" s="171" t="s">
        <v>83</v>
      </c>
      <c r="I85" s="172" t="s">
        <v>83</v>
      </c>
    </row>
    <row r="86" customFormat="false" ht="19.5" hidden="false" customHeight="true" outlineLevel="0" collapsed="false">
      <c r="A86" s="173" t="s">
        <v>654</v>
      </c>
      <c r="B86" s="174" t="s">
        <v>655</v>
      </c>
      <c r="C86" s="67" t="s">
        <v>85</v>
      </c>
      <c r="D86" s="171" t="s">
        <v>451</v>
      </c>
      <c r="E86" s="175" t="s">
        <v>626</v>
      </c>
      <c r="F86" s="171" t="s">
        <v>652</v>
      </c>
      <c r="G86" s="175" t="s">
        <v>653</v>
      </c>
      <c r="H86" s="171" t="s">
        <v>83</v>
      </c>
      <c r="I86" s="172" t="s">
        <v>83</v>
      </c>
    </row>
    <row r="87" customFormat="false" ht="19.5" hidden="false" customHeight="true" outlineLevel="0" collapsed="false">
      <c r="A87" s="173" t="s">
        <v>656</v>
      </c>
      <c r="B87" s="174" t="s">
        <v>657</v>
      </c>
      <c r="C87" s="67" t="s">
        <v>85</v>
      </c>
      <c r="D87" s="171" t="s">
        <v>456</v>
      </c>
      <c r="E87" s="175" t="s">
        <v>626</v>
      </c>
      <c r="F87" s="171" t="s">
        <v>652</v>
      </c>
      <c r="G87" s="175" t="s">
        <v>653</v>
      </c>
      <c r="H87" s="171" t="s">
        <v>83</v>
      </c>
      <c r="I87" s="172" t="s">
        <v>83</v>
      </c>
    </row>
    <row r="88" customFormat="false" ht="19.5" hidden="false" customHeight="true" outlineLevel="0" collapsed="false">
      <c r="A88" s="173" t="s">
        <v>658</v>
      </c>
      <c r="B88" s="174" t="s">
        <v>659</v>
      </c>
      <c r="C88" s="67" t="s">
        <v>85</v>
      </c>
      <c r="D88" s="171" t="s">
        <v>441</v>
      </c>
      <c r="E88" s="175" t="s">
        <v>626</v>
      </c>
      <c r="F88" s="171" t="s">
        <v>652</v>
      </c>
      <c r="G88" s="175" t="s">
        <v>653</v>
      </c>
      <c r="H88" s="171" t="s">
        <v>83</v>
      </c>
      <c r="I88" s="172" t="s">
        <v>83</v>
      </c>
    </row>
    <row r="89" customFormat="false" ht="19.5" hidden="false" customHeight="true" outlineLevel="0" collapsed="false">
      <c r="A89" s="173" t="s">
        <v>660</v>
      </c>
      <c r="B89" s="174" t="s">
        <v>661</v>
      </c>
      <c r="C89" s="67" t="s">
        <v>85</v>
      </c>
      <c r="D89" s="171" t="s">
        <v>451</v>
      </c>
      <c r="E89" s="175" t="s">
        <v>626</v>
      </c>
      <c r="F89" s="171" t="s">
        <v>652</v>
      </c>
      <c r="G89" s="175" t="s">
        <v>653</v>
      </c>
      <c r="H89" s="171" t="s">
        <v>83</v>
      </c>
      <c r="I89" s="172" t="s">
        <v>83</v>
      </c>
    </row>
    <row r="90" customFormat="false" ht="19.5" hidden="false" customHeight="true" outlineLevel="0" collapsed="false">
      <c r="A90" s="173" t="s">
        <v>662</v>
      </c>
      <c r="B90" s="174" t="s">
        <v>663</v>
      </c>
      <c r="C90" s="67" t="s">
        <v>85</v>
      </c>
      <c r="D90" s="171" t="s">
        <v>456</v>
      </c>
      <c r="E90" s="175" t="s">
        <v>626</v>
      </c>
      <c r="F90" s="171" t="s">
        <v>652</v>
      </c>
      <c r="G90" s="175" t="s">
        <v>653</v>
      </c>
      <c r="H90" s="171" t="s">
        <v>83</v>
      </c>
      <c r="I90" s="172" t="s">
        <v>83</v>
      </c>
    </row>
    <row r="91" customFormat="false" ht="19.5" hidden="false" customHeight="true" outlineLevel="0" collapsed="false">
      <c r="A91" s="173" t="s">
        <v>664</v>
      </c>
      <c r="B91" s="174" t="s">
        <v>665</v>
      </c>
      <c r="C91" s="67" t="s">
        <v>85</v>
      </c>
      <c r="D91" s="171" t="s">
        <v>441</v>
      </c>
      <c r="E91" s="175" t="s">
        <v>626</v>
      </c>
      <c r="F91" s="171" t="s">
        <v>652</v>
      </c>
      <c r="G91" s="175" t="s">
        <v>653</v>
      </c>
      <c r="H91" s="171" t="s">
        <v>83</v>
      </c>
      <c r="I91" s="172" t="s">
        <v>83</v>
      </c>
    </row>
    <row r="92" customFormat="false" ht="19.5" hidden="false" customHeight="true" outlineLevel="0" collapsed="false">
      <c r="A92" s="173" t="s">
        <v>666</v>
      </c>
      <c r="B92" s="174" t="s">
        <v>667</v>
      </c>
      <c r="C92" s="67" t="s">
        <v>85</v>
      </c>
      <c r="D92" s="171" t="s">
        <v>451</v>
      </c>
      <c r="E92" s="175" t="s">
        <v>626</v>
      </c>
      <c r="F92" s="171" t="s">
        <v>652</v>
      </c>
      <c r="G92" s="175" t="s">
        <v>653</v>
      </c>
      <c r="H92" s="171" t="s">
        <v>83</v>
      </c>
      <c r="I92" s="172" t="s">
        <v>83</v>
      </c>
    </row>
    <row r="93" customFormat="false" ht="19.5" hidden="false" customHeight="true" outlineLevel="0" collapsed="false">
      <c r="A93" s="173" t="s">
        <v>668</v>
      </c>
      <c r="B93" s="174" t="s">
        <v>669</v>
      </c>
      <c r="C93" s="67" t="s">
        <v>85</v>
      </c>
      <c r="D93" s="171" t="s">
        <v>456</v>
      </c>
      <c r="E93" s="175" t="s">
        <v>626</v>
      </c>
      <c r="F93" s="171" t="s">
        <v>652</v>
      </c>
      <c r="G93" s="175" t="s">
        <v>653</v>
      </c>
      <c r="H93" s="171" t="s">
        <v>83</v>
      </c>
      <c r="I93" s="172" t="s">
        <v>83</v>
      </c>
    </row>
    <row r="94" customFormat="false" ht="19.5" hidden="false" customHeight="true" outlineLevel="0" collapsed="false">
      <c r="A94" s="173" t="s">
        <v>670</v>
      </c>
      <c r="B94" s="174" t="s">
        <v>671</v>
      </c>
      <c r="C94" s="67" t="s">
        <v>85</v>
      </c>
      <c r="D94" s="171" t="s">
        <v>441</v>
      </c>
      <c r="E94" s="175" t="s">
        <v>626</v>
      </c>
      <c r="F94" s="171" t="s">
        <v>652</v>
      </c>
      <c r="G94" s="175" t="s">
        <v>653</v>
      </c>
      <c r="H94" s="171" t="s">
        <v>83</v>
      </c>
      <c r="I94" s="172" t="s">
        <v>83</v>
      </c>
    </row>
    <row r="95" customFormat="false" ht="19.5" hidden="false" customHeight="true" outlineLevel="0" collapsed="false">
      <c r="A95" s="173" t="s">
        <v>672</v>
      </c>
      <c r="B95" s="174" t="s">
        <v>673</v>
      </c>
      <c r="C95" s="67" t="s">
        <v>85</v>
      </c>
      <c r="D95" s="171" t="s">
        <v>451</v>
      </c>
      <c r="E95" s="175" t="s">
        <v>626</v>
      </c>
      <c r="F95" s="171" t="s">
        <v>652</v>
      </c>
      <c r="G95" s="175" t="s">
        <v>653</v>
      </c>
      <c r="H95" s="171" t="s">
        <v>83</v>
      </c>
      <c r="I95" s="172" t="s">
        <v>83</v>
      </c>
    </row>
    <row r="96" customFormat="false" ht="19.5" hidden="false" customHeight="true" outlineLevel="0" collapsed="false">
      <c r="A96" s="173" t="s">
        <v>674</v>
      </c>
      <c r="B96" s="174" t="s">
        <v>675</v>
      </c>
      <c r="C96" s="67" t="s">
        <v>85</v>
      </c>
      <c r="D96" s="171" t="s">
        <v>456</v>
      </c>
      <c r="E96" s="175" t="s">
        <v>626</v>
      </c>
      <c r="F96" s="171" t="s">
        <v>652</v>
      </c>
      <c r="G96" s="175" t="s">
        <v>653</v>
      </c>
      <c r="H96" s="171" t="s">
        <v>83</v>
      </c>
      <c r="I96" s="172" t="s">
        <v>83</v>
      </c>
    </row>
    <row r="97" customFormat="false" ht="19.5" hidden="false" customHeight="true" outlineLevel="0" collapsed="false">
      <c r="A97" s="176" t="s">
        <v>676</v>
      </c>
      <c r="B97" s="177" t="s">
        <v>677</v>
      </c>
      <c r="C97" s="75" t="s">
        <v>89</v>
      </c>
      <c r="D97" s="171" t="s">
        <v>471</v>
      </c>
      <c r="E97" s="175" t="s">
        <v>678</v>
      </c>
      <c r="F97" s="171" t="s">
        <v>679</v>
      </c>
      <c r="G97" s="175" t="s">
        <v>490</v>
      </c>
      <c r="H97" s="171" t="s">
        <v>83</v>
      </c>
      <c r="I97" s="172" t="s">
        <v>83</v>
      </c>
    </row>
    <row r="98" customFormat="false" ht="19.5" hidden="false" customHeight="true" outlineLevel="0" collapsed="false">
      <c r="A98" s="176" t="s">
        <v>680</v>
      </c>
      <c r="B98" s="177" t="s">
        <v>681</v>
      </c>
      <c r="C98" s="75" t="s">
        <v>89</v>
      </c>
      <c r="D98" s="171" t="s">
        <v>481</v>
      </c>
      <c r="E98" s="175" t="s">
        <v>678</v>
      </c>
      <c r="F98" s="171" t="s">
        <v>679</v>
      </c>
      <c r="G98" s="175" t="s">
        <v>490</v>
      </c>
      <c r="H98" s="171" t="s">
        <v>83</v>
      </c>
      <c r="I98" s="172" t="s">
        <v>83</v>
      </c>
    </row>
    <row r="99" customFormat="false" ht="19.5" hidden="false" customHeight="true" outlineLevel="0" collapsed="false">
      <c r="A99" s="176" t="s">
        <v>682</v>
      </c>
      <c r="B99" s="177" t="s">
        <v>683</v>
      </c>
      <c r="C99" s="75" t="s">
        <v>89</v>
      </c>
      <c r="D99" s="171" t="s">
        <v>486</v>
      </c>
      <c r="E99" s="175" t="s">
        <v>678</v>
      </c>
      <c r="F99" s="171" t="s">
        <v>679</v>
      </c>
      <c r="G99" s="175" t="s">
        <v>490</v>
      </c>
      <c r="H99" s="171" t="s">
        <v>83</v>
      </c>
      <c r="I99" s="172" t="s">
        <v>83</v>
      </c>
    </row>
    <row r="100" customFormat="false" ht="19.5" hidden="false" customHeight="true" outlineLevel="0" collapsed="false">
      <c r="A100" s="176" t="s">
        <v>684</v>
      </c>
      <c r="B100" s="177" t="s">
        <v>685</v>
      </c>
      <c r="C100" s="75" t="s">
        <v>89</v>
      </c>
      <c r="D100" s="171" t="s">
        <v>471</v>
      </c>
      <c r="E100" s="175" t="s">
        <v>678</v>
      </c>
      <c r="F100" s="171" t="s">
        <v>679</v>
      </c>
      <c r="G100" s="175" t="s">
        <v>490</v>
      </c>
      <c r="H100" s="171" t="s">
        <v>83</v>
      </c>
      <c r="I100" s="172" t="s">
        <v>83</v>
      </c>
    </row>
    <row r="101" customFormat="false" ht="19.5" hidden="false" customHeight="true" outlineLevel="0" collapsed="false">
      <c r="A101" s="176" t="s">
        <v>686</v>
      </c>
      <c r="B101" s="177" t="s">
        <v>687</v>
      </c>
      <c r="C101" s="75" t="s">
        <v>89</v>
      </c>
      <c r="D101" s="171" t="s">
        <v>481</v>
      </c>
      <c r="E101" s="175" t="s">
        <v>678</v>
      </c>
      <c r="F101" s="171" t="s">
        <v>679</v>
      </c>
      <c r="G101" s="175" t="s">
        <v>490</v>
      </c>
      <c r="H101" s="171" t="s">
        <v>83</v>
      </c>
      <c r="I101" s="172" t="s">
        <v>83</v>
      </c>
    </row>
    <row r="102" customFormat="false" ht="19.5" hidden="false" customHeight="true" outlineLevel="0" collapsed="false">
      <c r="A102" s="176" t="s">
        <v>688</v>
      </c>
      <c r="B102" s="177" t="s">
        <v>689</v>
      </c>
      <c r="C102" s="75" t="s">
        <v>89</v>
      </c>
      <c r="D102" s="171" t="s">
        <v>486</v>
      </c>
      <c r="E102" s="175" t="s">
        <v>678</v>
      </c>
      <c r="F102" s="171" t="s">
        <v>679</v>
      </c>
      <c r="G102" s="175" t="s">
        <v>490</v>
      </c>
      <c r="H102" s="171" t="s">
        <v>83</v>
      </c>
      <c r="I102" s="172" t="s">
        <v>83</v>
      </c>
    </row>
    <row r="103" customFormat="false" ht="19.5" hidden="false" customHeight="true" outlineLevel="0" collapsed="false">
      <c r="A103" s="176" t="s">
        <v>690</v>
      </c>
      <c r="B103" s="177" t="s">
        <v>691</v>
      </c>
      <c r="C103" s="75" t="s">
        <v>89</v>
      </c>
      <c r="D103" s="171" t="s">
        <v>471</v>
      </c>
      <c r="E103" s="175" t="s">
        <v>678</v>
      </c>
      <c r="F103" s="171" t="s">
        <v>679</v>
      </c>
      <c r="G103" s="175" t="s">
        <v>490</v>
      </c>
      <c r="H103" s="171" t="s">
        <v>83</v>
      </c>
      <c r="I103" s="172" t="s">
        <v>83</v>
      </c>
    </row>
    <row r="104" customFormat="false" ht="19.5" hidden="false" customHeight="true" outlineLevel="0" collapsed="false">
      <c r="A104" s="176" t="s">
        <v>692</v>
      </c>
      <c r="B104" s="177" t="s">
        <v>693</v>
      </c>
      <c r="C104" s="75" t="s">
        <v>89</v>
      </c>
      <c r="D104" s="171" t="s">
        <v>481</v>
      </c>
      <c r="E104" s="175" t="s">
        <v>678</v>
      </c>
      <c r="F104" s="171" t="s">
        <v>679</v>
      </c>
      <c r="G104" s="175" t="s">
        <v>490</v>
      </c>
      <c r="H104" s="171" t="s">
        <v>83</v>
      </c>
      <c r="I104" s="172" t="s">
        <v>83</v>
      </c>
    </row>
    <row r="105" customFormat="false" ht="19.5" hidden="false" customHeight="true" outlineLevel="0" collapsed="false">
      <c r="A105" s="176" t="s">
        <v>694</v>
      </c>
      <c r="B105" s="177" t="s">
        <v>695</v>
      </c>
      <c r="C105" s="75" t="s">
        <v>89</v>
      </c>
      <c r="D105" s="171" t="s">
        <v>486</v>
      </c>
      <c r="E105" s="175" t="s">
        <v>678</v>
      </c>
      <c r="F105" s="171" t="s">
        <v>679</v>
      </c>
      <c r="G105" s="175" t="s">
        <v>490</v>
      </c>
      <c r="H105" s="171" t="s">
        <v>83</v>
      </c>
      <c r="I105" s="172" t="s">
        <v>83</v>
      </c>
    </row>
    <row r="106" customFormat="false" ht="19.5" hidden="false" customHeight="true" outlineLevel="0" collapsed="false">
      <c r="A106" s="176" t="s">
        <v>696</v>
      </c>
      <c r="B106" s="177" t="s">
        <v>697</v>
      </c>
      <c r="C106" s="75" t="s">
        <v>89</v>
      </c>
      <c r="D106" s="171" t="s">
        <v>471</v>
      </c>
      <c r="E106" s="175" t="s">
        <v>678</v>
      </c>
      <c r="F106" s="171" t="s">
        <v>679</v>
      </c>
      <c r="G106" s="175" t="s">
        <v>490</v>
      </c>
      <c r="H106" s="171" t="s">
        <v>83</v>
      </c>
      <c r="I106" s="172" t="s">
        <v>83</v>
      </c>
    </row>
    <row r="107" customFormat="false" ht="19.5" hidden="false" customHeight="true" outlineLevel="0" collapsed="false">
      <c r="A107" s="176" t="s">
        <v>698</v>
      </c>
      <c r="B107" s="177" t="s">
        <v>699</v>
      </c>
      <c r="C107" s="75" t="s">
        <v>89</v>
      </c>
      <c r="D107" s="171" t="s">
        <v>481</v>
      </c>
      <c r="E107" s="175" t="s">
        <v>678</v>
      </c>
      <c r="F107" s="171" t="s">
        <v>679</v>
      </c>
      <c r="G107" s="175" t="s">
        <v>490</v>
      </c>
      <c r="H107" s="171" t="s">
        <v>83</v>
      </c>
      <c r="I107" s="172" t="s">
        <v>83</v>
      </c>
    </row>
    <row r="108" customFormat="false" ht="19.5" hidden="false" customHeight="true" outlineLevel="0" collapsed="false">
      <c r="A108" s="176" t="s">
        <v>700</v>
      </c>
      <c r="B108" s="177" t="s">
        <v>701</v>
      </c>
      <c r="C108" s="75" t="s">
        <v>89</v>
      </c>
      <c r="D108" s="171" t="s">
        <v>486</v>
      </c>
      <c r="E108" s="175" t="s">
        <v>678</v>
      </c>
      <c r="F108" s="171" t="s">
        <v>679</v>
      </c>
      <c r="G108" s="175" t="s">
        <v>490</v>
      </c>
      <c r="H108" s="171" t="s">
        <v>83</v>
      </c>
      <c r="I108" s="172" t="s">
        <v>83</v>
      </c>
    </row>
    <row r="109" customFormat="false" ht="19.5" hidden="false" customHeight="true" outlineLevel="0" collapsed="false">
      <c r="A109" s="176" t="s">
        <v>702</v>
      </c>
      <c r="B109" s="177" t="s">
        <v>703</v>
      </c>
      <c r="C109" s="75" t="s">
        <v>89</v>
      </c>
      <c r="D109" s="171" t="s">
        <v>471</v>
      </c>
      <c r="E109" s="175" t="s">
        <v>678</v>
      </c>
      <c r="F109" s="171" t="s">
        <v>704</v>
      </c>
      <c r="G109" s="175" t="s">
        <v>705</v>
      </c>
      <c r="H109" s="171" t="s">
        <v>83</v>
      </c>
      <c r="I109" s="172" t="s">
        <v>83</v>
      </c>
    </row>
    <row r="110" customFormat="false" ht="19.5" hidden="false" customHeight="true" outlineLevel="0" collapsed="false">
      <c r="A110" s="176" t="s">
        <v>706</v>
      </c>
      <c r="B110" s="177" t="s">
        <v>707</v>
      </c>
      <c r="C110" s="75" t="s">
        <v>89</v>
      </c>
      <c r="D110" s="171" t="s">
        <v>481</v>
      </c>
      <c r="E110" s="175" t="s">
        <v>678</v>
      </c>
      <c r="F110" s="171" t="s">
        <v>704</v>
      </c>
      <c r="G110" s="175" t="s">
        <v>705</v>
      </c>
      <c r="H110" s="171" t="s">
        <v>83</v>
      </c>
      <c r="I110" s="172" t="s">
        <v>83</v>
      </c>
    </row>
    <row r="111" customFormat="false" ht="19.5" hidden="false" customHeight="true" outlineLevel="0" collapsed="false">
      <c r="A111" s="176" t="s">
        <v>708</v>
      </c>
      <c r="B111" s="177" t="s">
        <v>709</v>
      </c>
      <c r="C111" s="75" t="s">
        <v>89</v>
      </c>
      <c r="D111" s="171" t="s">
        <v>486</v>
      </c>
      <c r="E111" s="175" t="s">
        <v>678</v>
      </c>
      <c r="F111" s="171" t="s">
        <v>704</v>
      </c>
      <c r="G111" s="175" t="s">
        <v>705</v>
      </c>
      <c r="H111" s="171" t="s">
        <v>83</v>
      </c>
      <c r="I111" s="172" t="s">
        <v>83</v>
      </c>
    </row>
    <row r="112" customFormat="false" ht="19.5" hidden="false" customHeight="true" outlineLevel="0" collapsed="false">
      <c r="A112" s="176" t="s">
        <v>710</v>
      </c>
      <c r="B112" s="177" t="s">
        <v>711</v>
      </c>
      <c r="C112" s="75" t="s">
        <v>89</v>
      </c>
      <c r="D112" s="171" t="s">
        <v>471</v>
      </c>
      <c r="E112" s="175" t="s">
        <v>678</v>
      </c>
      <c r="F112" s="171" t="s">
        <v>704</v>
      </c>
      <c r="G112" s="175" t="s">
        <v>705</v>
      </c>
      <c r="H112" s="171" t="s">
        <v>83</v>
      </c>
      <c r="I112" s="172" t="s">
        <v>83</v>
      </c>
    </row>
    <row r="113" customFormat="false" ht="19.5" hidden="false" customHeight="true" outlineLevel="0" collapsed="false">
      <c r="A113" s="176" t="s">
        <v>712</v>
      </c>
      <c r="B113" s="177" t="s">
        <v>713</v>
      </c>
      <c r="C113" s="75" t="s">
        <v>89</v>
      </c>
      <c r="D113" s="171" t="s">
        <v>481</v>
      </c>
      <c r="E113" s="175" t="s">
        <v>678</v>
      </c>
      <c r="F113" s="171" t="s">
        <v>704</v>
      </c>
      <c r="G113" s="175" t="s">
        <v>705</v>
      </c>
      <c r="H113" s="171" t="s">
        <v>83</v>
      </c>
      <c r="I113" s="172" t="s">
        <v>83</v>
      </c>
    </row>
    <row r="114" customFormat="false" ht="19.5" hidden="false" customHeight="true" outlineLevel="0" collapsed="false">
      <c r="A114" s="176" t="s">
        <v>714</v>
      </c>
      <c r="B114" s="177" t="s">
        <v>715</v>
      </c>
      <c r="C114" s="75" t="s">
        <v>89</v>
      </c>
      <c r="D114" s="171" t="s">
        <v>486</v>
      </c>
      <c r="E114" s="175" t="s">
        <v>678</v>
      </c>
      <c r="F114" s="171" t="s">
        <v>704</v>
      </c>
      <c r="G114" s="175" t="s">
        <v>705</v>
      </c>
      <c r="H114" s="171" t="s">
        <v>83</v>
      </c>
      <c r="I114" s="172" t="s">
        <v>83</v>
      </c>
    </row>
    <row r="115" customFormat="false" ht="19.5" hidden="false" customHeight="true" outlineLevel="0" collapsed="false">
      <c r="A115" s="176" t="s">
        <v>716</v>
      </c>
      <c r="B115" s="177" t="s">
        <v>717</v>
      </c>
      <c r="C115" s="75" t="s">
        <v>89</v>
      </c>
      <c r="D115" s="171" t="s">
        <v>471</v>
      </c>
      <c r="E115" s="175" t="s">
        <v>678</v>
      </c>
      <c r="F115" s="171" t="s">
        <v>704</v>
      </c>
      <c r="G115" s="175" t="s">
        <v>705</v>
      </c>
      <c r="H115" s="171" t="s">
        <v>83</v>
      </c>
      <c r="I115" s="172" t="s">
        <v>83</v>
      </c>
    </row>
    <row r="116" customFormat="false" ht="19.5" hidden="false" customHeight="true" outlineLevel="0" collapsed="false">
      <c r="A116" s="176" t="s">
        <v>718</v>
      </c>
      <c r="B116" s="177" t="s">
        <v>719</v>
      </c>
      <c r="C116" s="75" t="s">
        <v>89</v>
      </c>
      <c r="D116" s="171" t="s">
        <v>481</v>
      </c>
      <c r="E116" s="175" t="s">
        <v>678</v>
      </c>
      <c r="F116" s="171" t="s">
        <v>704</v>
      </c>
      <c r="G116" s="175" t="s">
        <v>705</v>
      </c>
      <c r="H116" s="171" t="s">
        <v>83</v>
      </c>
      <c r="I116" s="172" t="s">
        <v>83</v>
      </c>
    </row>
    <row r="117" customFormat="false" ht="19.5" hidden="false" customHeight="true" outlineLevel="0" collapsed="false">
      <c r="A117" s="176" t="s">
        <v>720</v>
      </c>
      <c r="B117" s="177" t="s">
        <v>721</v>
      </c>
      <c r="C117" s="75" t="s">
        <v>89</v>
      </c>
      <c r="D117" s="171" t="s">
        <v>486</v>
      </c>
      <c r="E117" s="175" t="s">
        <v>678</v>
      </c>
      <c r="F117" s="171" t="s">
        <v>704</v>
      </c>
      <c r="G117" s="175" t="s">
        <v>705</v>
      </c>
      <c r="H117" s="171" t="s">
        <v>83</v>
      </c>
      <c r="I117" s="172" t="s">
        <v>83</v>
      </c>
    </row>
    <row r="118" customFormat="false" ht="19.5" hidden="false" customHeight="true" outlineLevel="0" collapsed="false">
      <c r="A118" s="176" t="s">
        <v>722</v>
      </c>
      <c r="B118" s="177" t="s">
        <v>723</v>
      </c>
      <c r="C118" s="75" t="s">
        <v>89</v>
      </c>
      <c r="D118" s="171" t="s">
        <v>471</v>
      </c>
      <c r="E118" s="175" t="s">
        <v>678</v>
      </c>
      <c r="F118" s="171" t="s">
        <v>704</v>
      </c>
      <c r="G118" s="175" t="s">
        <v>705</v>
      </c>
      <c r="H118" s="171" t="s">
        <v>83</v>
      </c>
      <c r="I118" s="172" t="s">
        <v>83</v>
      </c>
    </row>
    <row r="119" customFormat="false" ht="19.5" hidden="false" customHeight="true" outlineLevel="0" collapsed="false">
      <c r="A119" s="176" t="s">
        <v>724</v>
      </c>
      <c r="B119" s="177" t="s">
        <v>725</v>
      </c>
      <c r="C119" s="75" t="s">
        <v>89</v>
      </c>
      <c r="D119" s="171" t="s">
        <v>481</v>
      </c>
      <c r="E119" s="175" t="s">
        <v>678</v>
      </c>
      <c r="F119" s="171" t="s">
        <v>704</v>
      </c>
      <c r="G119" s="175" t="s">
        <v>705</v>
      </c>
      <c r="H119" s="171" t="s">
        <v>83</v>
      </c>
      <c r="I119" s="172" t="s">
        <v>83</v>
      </c>
    </row>
    <row r="120" customFormat="false" ht="19.5" hidden="false" customHeight="true" outlineLevel="0" collapsed="false">
      <c r="A120" s="176" t="s">
        <v>726</v>
      </c>
      <c r="B120" s="177" t="s">
        <v>727</v>
      </c>
      <c r="C120" s="75" t="s">
        <v>89</v>
      </c>
      <c r="D120" s="171" t="s">
        <v>486</v>
      </c>
      <c r="E120" s="175" t="s">
        <v>678</v>
      </c>
      <c r="F120" s="171" t="s">
        <v>704</v>
      </c>
      <c r="G120" s="175" t="s">
        <v>705</v>
      </c>
      <c r="H120" s="171" t="s">
        <v>83</v>
      </c>
      <c r="I120" s="172" t="s">
        <v>83</v>
      </c>
    </row>
    <row r="121" customFormat="false" ht="19.5" hidden="false" customHeight="true" outlineLevel="0" collapsed="false">
      <c r="A121" s="178" t="s">
        <v>728</v>
      </c>
      <c r="B121" s="179" t="s">
        <v>729</v>
      </c>
      <c r="C121" s="180" t="s">
        <v>93</v>
      </c>
      <c r="D121" s="171" t="s">
        <v>501</v>
      </c>
      <c r="E121" s="175" t="s">
        <v>730</v>
      </c>
      <c r="F121" s="171" t="s">
        <v>731</v>
      </c>
      <c r="G121" s="175" t="s">
        <v>506</v>
      </c>
      <c r="H121" s="171" t="s">
        <v>83</v>
      </c>
      <c r="I121" s="172" t="s">
        <v>83</v>
      </c>
    </row>
    <row r="122" customFormat="false" ht="19.5" hidden="false" customHeight="true" outlineLevel="0" collapsed="false">
      <c r="A122" s="178" t="s">
        <v>732</v>
      </c>
      <c r="B122" s="179" t="s">
        <v>733</v>
      </c>
      <c r="C122" s="180" t="s">
        <v>93</v>
      </c>
      <c r="D122" s="171" t="s">
        <v>516</v>
      </c>
      <c r="E122" s="175" t="s">
        <v>730</v>
      </c>
      <c r="F122" s="171" t="s">
        <v>731</v>
      </c>
      <c r="G122" s="175" t="s">
        <v>506</v>
      </c>
      <c r="H122" s="171" t="s">
        <v>83</v>
      </c>
      <c r="I122" s="172" t="s">
        <v>83</v>
      </c>
    </row>
    <row r="123" customFormat="false" ht="19.5" hidden="false" customHeight="true" outlineLevel="0" collapsed="false">
      <c r="A123" s="178" t="s">
        <v>734</v>
      </c>
      <c r="B123" s="179" t="s">
        <v>735</v>
      </c>
      <c r="C123" s="180" t="s">
        <v>93</v>
      </c>
      <c r="D123" s="171" t="s">
        <v>516</v>
      </c>
      <c r="E123" s="175" t="s">
        <v>730</v>
      </c>
      <c r="F123" s="171" t="s">
        <v>731</v>
      </c>
      <c r="G123" s="175" t="s">
        <v>506</v>
      </c>
      <c r="H123" s="171" t="s">
        <v>83</v>
      </c>
      <c r="I123" s="172" t="s">
        <v>83</v>
      </c>
    </row>
    <row r="124" customFormat="false" ht="19.5" hidden="false" customHeight="true" outlineLevel="0" collapsed="false">
      <c r="A124" s="178" t="s">
        <v>736</v>
      </c>
      <c r="B124" s="179" t="s">
        <v>737</v>
      </c>
      <c r="C124" s="180" t="s">
        <v>93</v>
      </c>
      <c r="D124" s="171" t="s">
        <v>501</v>
      </c>
      <c r="E124" s="175" t="s">
        <v>730</v>
      </c>
      <c r="F124" s="171" t="s">
        <v>731</v>
      </c>
      <c r="G124" s="175" t="s">
        <v>506</v>
      </c>
      <c r="H124" s="171" t="s">
        <v>83</v>
      </c>
      <c r="I124" s="172" t="s">
        <v>83</v>
      </c>
    </row>
    <row r="125" customFormat="false" ht="19.5" hidden="false" customHeight="true" outlineLevel="0" collapsed="false">
      <c r="A125" s="178" t="s">
        <v>738</v>
      </c>
      <c r="B125" s="179" t="s">
        <v>739</v>
      </c>
      <c r="C125" s="180" t="s">
        <v>93</v>
      </c>
      <c r="D125" s="171" t="s">
        <v>516</v>
      </c>
      <c r="E125" s="175" t="s">
        <v>730</v>
      </c>
      <c r="F125" s="171" t="s">
        <v>731</v>
      </c>
      <c r="G125" s="175" t="s">
        <v>506</v>
      </c>
      <c r="H125" s="171" t="s">
        <v>83</v>
      </c>
      <c r="I125" s="172" t="s">
        <v>83</v>
      </c>
    </row>
    <row r="126" customFormat="false" ht="19.5" hidden="false" customHeight="true" outlineLevel="0" collapsed="false">
      <c r="A126" s="178" t="s">
        <v>740</v>
      </c>
      <c r="B126" s="179" t="s">
        <v>741</v>
      </c>
      <c r="C126" s="180" t="s">
        <v>93</v>
      </c>
      <c r="D126" s="171" t="s">
        <v>516</v>
      </c>
      <c r="E126" s="175" t="s">
        <v>730</v>
      </c>
      <c r="F126" s="171" t="s">
        <v>731</v>
      </c>
      <c r="G126" s="175" t="s">
        <v>506</v>
      </c>
      <c r="H126" s="171" t="s">
        <v>83</v>
      </c>
      <c r="I126" s="172" t="s">
        <v>83</v>
      </c>
    </row>
    <row r="127" customFormat="false" ht="19.5" hidden="false" customHeight="true" outlineLevel="0" collapsed="false">
      <c r="A127" s="178" t="s">
        <v>742</v>
      </c>
      <c r="B127" s="179" t="s">
        <v>743</v>
      </c>
      <c r="C127" s="180" t="s">
        <v>93</v>
      </c>
      <c r="D127" s="171" t="s">
        <v>501</v>
      </c>
      <c r="E127" s="175" t="s">
        <v>730</v>
      </c>
      <c r="F127" s="171" t="s">
        <v>731</v>
      </c>
      <c r="G127" s="175" t="s">
        <v>506</v>
      </c>
      <c r="H127" s="171" t="s">
        <v>83</v>
      </c>
      <c r="I127" s="172" t="s">
        <v>83</v>
      </c>
    </row>
    <row r="128" customFormat="false" ht="19.5" hidden="false" customHeight="true" outlineLevel="0" collapsed="false">
      <c r="A128" s="178" t="s">
        <v>744</v>
      </c>
      <c r="B128" s="179" t="s">
        <v>745</v>
      </c>
      <c r="C128" s="180" t="s">
        <v>93</v>
      </c>
      <c r="D128" s="171" t="s">
        <v>516</v>
      </c>
      <c r="E128" s="175" t="s">
        <v>730</v>
      </c>
      <c r="F128" s="171" t="s">
        <v>731</v>
      </c>
      <c r="G128" s="175" t="s">
        <v>506</v>
      </c>
      <c r="H128" s="171" t="s">
        <v>83</v>
      </c>
      <c r="I128" s="172" t="s">
        <v>83</v>
      </c>
    </row>
    <row r="129" customFormat="false" ht="19.5" hidden="false" customHeight="true" outlineLevel="0" collapsed="false">
      <c r="A129" s="178" t="s">
        <v>746</v>
      </c>
      <c r="B129" s="179" t="s">
        <v>747</v>
      </c>
      <c r="C129" s="180" t="s">
        <v>93</v>
      </c>
      <c r="D129" s="171" t="s">
        <v>516</v>
      </c>
      <c r="E129" s="175" t="s">
        <v>730</v>
      </c>
      <c r="F129" s="171" t="s">
        <v>731</v>
      </c>
      <c r="G129" s="175" t="s">
        <v>506</v>
      </c>
      <c r="H129" s="171" t="s">
        <v>83</v>
      </c>
      <c r="I129" s="172" t="s">
        <v>83</v>
      </c>
    </row>
    <row r="130" customFormat="false" ht="19.5" hidden="false" customHeight="true" outlineLevel="0" collapsed="false">
      <c r="A130" s="155" t="s">
        <v>748</v>
      </c>
      <c r="B130" s="181" t="s">
        <v>749</v>
      </c>
      <c r="C130" s="182" t="s">
        <v>97</v>
      </c>
      <c r="D130" s="171" t="s">
        <v>519</v>
      </c>
      <c r="E130" s="175" t="s">
        <v>750</v>
      </c>
      <c r="F130" s="171" t="s">
        <v>751</v>
      </c>
      <c r="G130" s="175" t="s">
        <v>524</v>
      </c>
      <c r="H130" s="171" t="s">
        <v>83</v>
      </c>
      <c r="I130" s="172" t="s">
        <v>83</v>
      </c>
    </row>
    <row r="131" customFormat="false" ht="19.5" hidden="false" customHeight="true" outlineLevel="0" collapsed="false">
      <c r="A131" s="155" t="s">
        <v>752</v>
      </c>
      <c r="B131" s="181" t="s">
        <v>753</v>
      </c>
      <c r="C131" s="182" t="s">
        <v>97</v>
      </c>
      <c r="D131" s="171" t="s">
        <v>534</v>
      </c>
      <c r="E131" s="175" t="s">
        <v>750</v>
      </c>
      <c r="F131" s="171" t="s">
        <v>751</v>
      </c>
      <c r="G131" s="175" t="s">
        <v>524</v>
      </c>
      <c r="H131" s="171" t="s">
        <v>83</v>
      </c>
      <c r="I131" s="172" t="s">
        <v>83</v>
      </c>
    </row>
    <row r="132" customFormat="false" ht="19.5" hidden="false" customHeight="true" outlineLevel="0" collapsed="false">
      <c r="A132" s="155" t="s">
        <v>754</v>
      </c>
      <c r="B132" s="181" t="s">
        <v>755</v>
      </c>
      <c r="C132" s="182" t="s">
        <v>97</v>
      </c>
      <c r="D132" s="171" t="s">
        <v>534</v>
      </c>
      <c r="E132" s="175" t="s">
        <v>750</v>
      </c>
      <c r="F132" s="171" t="s">
        <v>751</v>
      </c>
      <c r="G132" s="175" t="s">
        <v>524</v>
      </c>
      <c r="H132" s="171" t="s">
        <v>83</v>
      </c>
      <c r="I132" s="172" t="s">
        <v>83</v>
      </c>
    </row>
    <row r="133" customFormat="false" ht="19.5" hidden="false" customHeight="true" outlineLevel="0" collapsed="false">
      <c r="A133" s="155" t="s">
        <v>756</v>
      </c>
      <c r="B133" s="181" t="s">
        <v>757</v>
      </c>
      <c r="C133" s="182" t="s">
        <v>97</v>
      </c>
      <c r="D133" s="171" t="s">
        <v>519</v>
      </c>
      <c r="E133" s="175" t="s">
        <v>750</v>
      </c>
      <c r="F133" s="171" t="s">
        <v>751</v>
      </c>
      <c r="G133" s="175" t="s">
        <v>524</v>
      </c>
      <c r="H133" s="171" t="s">
        <v>83</v>
      </c>
      <c r="I133" s="172" t="s">
        <v>83</v>
      </c>
    </row>
    <row r="134" customFormat="false" ht="19.5" hidden="false" customHeight="true" outlineLevel="0" collapsed="false">
      <c r="A134" s="155" t="s">
        <v>758</v>
      </c>
      <c r="B134" s="181" t="s">
        <v>759</v>
      </c>
      <c r="C134" s="182" t="s">
        <v>97</v>
      </c>
      <c r="D134" s="171" t="s">
        <v>534</v>
      </c>
      <c r="E134" s="175" t="s">
        <v>750</v>
      </c>
      <c r="F134" s="171" t="s">
        <v>751</v>
      </c>
      <c r="G134" s="175" t="s">
        <v>524</v>
      </c>
      <c r="H134" s="171" t="s">
        <v>83</v>
      </c>
      <c r="I134" s="172" t="s">
        <v>83</v>
      </c>
    </row>
    <row r="135" customFormat="false" ht="19.5" hidden="false" customHeight="true" outlineLevel="0" collapsed="false">
      <c r="A135" s="155" t="s">
        <v>760</v>
      </c>
      <c r="B135" s="181" t="s">
        <v>761</v>
      </c>
      <c r="C135" s="182" t="s">
        <v>97</v>
      </c>
      <c r="D135" s="171" t="s">
        <v>534</v>
      </c>
      <c r="E135" s="175" t="s">
        <v>750</v>
      </c>
      <c r="F135" s="171" t="s">
        <v>751</v>
      </c>
      <c r="G135" s="175" t="s">
        <v>524</v>
      </c>
      <c r="H135" s="171" t="s">
        <v>83</v>
      </c>
      <c r="I135" s="172" t="s">
        <v>83</v>
      </c>
    </row>
    <row r="136" customFormat="false" ht="19.5" hidden="false" customHeight="true" outlineLevel="0" collapsed="false">
      <c r="A136" s="155" t="s">
        <v>762</v>
      </c>
      <c r="B136" s="181" t="s">
        <v>763</v>
      </c>
      <c r="C136" s="182" t="s">
        <v>97</v>
      </c>
      <c r="D136" s="171" t="s">
        <v>519</v>
      </c>
      <c r="E136" s="175" t="s">
        <v>750</v>
      </c>
      <c r="F136" s="171" t="s">
        <v>751</v>
      </c>
      <c r="G136" s="175" t="s">
        <v>524</v>
      </c>
      <c r="H136" s="171" t="s">
        <v>83</v>
      </c>
      <c r="I136" s="172" t="s">
        <v>83</v>
      </c>
    </row>
    <row r="137" customFormat="false" ht="19.5" hidden="false" customHeight="true" outlineLevel="0" collapsed="false">
      <c r="A137" s="155" t="s">
        <v>764</v>
      </c>
      <c r="B137" s="181" t="s">
        <v>765</v>
      </c>
      <c r="C137" s="182" t="s">
        <v>97</v>
      </c>
      <c r="D137" s="171" t="s">
        <v>534</v>
      </c>
      <c r="E137" s="175" t="s">
        <v>750</v>
      </c>
      <c r="F137" s="171" t="s">
        <v>751</v>
      </c>
      <c r="G137" s="175" t="s">
        <v>524</v>
      </c>
      <c r="H137" s="171" t="s">
        <v>83</v>
      </c>
      <c r="I137" s="172" t="s">
        <v>83</v>
      </c>
    </row>
    <row r="138" customFormat="false" ht="19.5" hidden="false" customHeight="true" outlineLevel="0" collapsed="false">
      <c r="A138" s="155" t="s">
        <v>766</v>
      </c>
      <c r="B138" s="181" t="s">
        <v>767</v>
      </c>
      <c r="C138" s="182" t="s">
        <v>97</v>
      </c>
      <c r="D138" s="171" t="s">
        <v>534</v>
      </c>
      <c r="E138" s="175" t="s">
        <v>750</v>
      </c>
      <c r="F138" s="171" t="s">
        <v>751</v>
      </c>
      <c r="G138" s="175" t="s">
        <v>524</v>
      </c>
      <c r="H138" s="171" t="s">
        <v>83</v>
      </c>
      <c r="I138" s="172" t="s">
        <v>83</v>
      </c>
    </row>
    <row r="139" customFormat="false" ht="19.5" hidden="false" customHeight="true" outlineLevel="0" collapsed="false">
      <c r="A139" s="159" t="s">
        <v>768</v>
      </c>
      <c r="B139" s="183" t="s">
        <v>769</v>
      </c>
      <c r="C139" s="184" t="s">
        <v>101</v>
      </c>
      <c r="D139" s="171" t="s">
        <v>537</v>
      </c>
      <c r="E139" s="175" t="s">
        <v>770</v>
      </c>
      <c r="F139" s="171" t="s">
        <v>771</v>
      </c>
      <c r="G139" s="175" t="s">
        <v>542</v>
      </c>
      <c r="H139" s="171" t="s">
        <v>83</v>
      </c>
      <c r="I139" s="172" t="s">
        <v>83</v>
      </c>
    </row>
    <row r="140" customFormat="false" ht="19.5" hidden="false" customHeight="true" outlineLevel="0" collapsed="false">
      <c r="A140" s="159" t="s">
        <v>772</v>
      </c>
      <c r="B140" s="183" t="s">
        <v>773</v>
      </c>
      <c r="C140" s="184" t="s">
        <v>101</v>
      </c>
      <c r="D140" s="171" t="s">
        <v>552</v>
      </c>
      <c r="E140" s="175" t="s">
        <v>770</v>
      </c>
      <c r="F140" s="171" t="s">
        <v>771</v>
      </c>
      <c r="G140" s="175" t="s">
        <v>542</v>
      </c>
      <c r="H140" s="171" t="s">
        <v>83</v>
      </c>
      <c r="I140" s="172" t="s">
        <v>83</v>
      </c>
    </row>
    <row r="141" customFormat="false" ht="19.5" hidden="false" customHeight="true" outlineLevel="0" collapsed="false">
      <c r="A141" s="159" t="s">
        <v>774</v>
      </c>
      <c r="B141" s="183" t="s">
        <v>775</v>
      </c>
      <c r="C141" s="184" t="s">
        <v>101</v>
      </c>
      <c r="D141" s="171" t="s">
        <v>552</v>
      </c>
      <c r="E141" s="175" t="s">
        <v>770</v>
      </c>
      <c r="F141" s="171" t="s">
        <v>771</v>
      </c>
      <c r="G141" s="175" t="s">
        <v>542</v>
      </c>
      <c r="H141" s="171" t="s">
        <v>83</v>
      </c>
      <c r="I141" s="172" t="s">
        <v>83</v>
      </c>
    </row>
    <row r="142" customFormat="false" ht="19.5" hidden="false" customHeight="true" outlineLevel="0" collapsed="false">
      <c r="A142" s="159" t="s">
        <v>776</v>
      </c>
      <c r="B142" s="183" t="s">
        <v>777</v>
      </c>
      <c r="C142" s="184" t="s">
        <v>101</v>
      </c>
      <c r="D142" s="171" t="s">
        <v>537</v>
      </c>
      <c r="E142" s="175" t="s">
        <v>770</v>
      </c>
      <c r="F142" s="171" t="s">
        <v>771</v>
      </c>
      <c r="G142" s="175" t="s">
        <v>542</v>
      </c>
      <c r="H142" s="171" t="s">
        <v>83</v>
      </c>
      <c r="I142" s="172" t="s">
        <v>83</v>
      </c>
    </row>
    <row r="143" customFormat="false" ht="19.5" hidden="false" customHeight="true" outlineLevel="0" collapsed="false">
      <c r="A143" s="159" t="s">
        <v>778</v>
      </c>
      <c r="B143" s="183" t="s">
        <v>779</v>
      </c>
      <c r="C143" s="184" t="s">
        <v>101</v>
      </c>
      <c r="D143" s="171" t="s">
        <v>552</v>
      </c>
      <c r="E143" s="175" t="s">
        <v>770</v>
      </c>
      <c r="F143" s="171" t="s">
        <v>771</v>
      </c>
      <c r="G143" s="175" t="s">
        <v>542</v>
      </c>
      <c r="H143" s="171" t="s">
        <v>83</v>
      </c>
      <c r="I143" s="172" t="s">
        <v>83</v>
      </c>
    </row>
    <row r="144" customFormat="false" ht="19.5" hidden="false" customHeight="true" outlineLevel="0" collapsed="false">
      <c r="A144" s="159" t="s">
        <v>780</v>
      </c>
      <c r="B144" s="183" t="s">
        <v>781</v>
      </c>
      <c r="C144" s="184" t="s">
        <v>101</v>
      </c>
      <c r="D144" s="171" t="s">
        <v>552</v>
      </c>
      <c r="E144" s="175" t="s">
        <v>770</v>
      </c>
      <c r="F144" s="171" t="s">
        <v>771</v>
      </c>
      <c r="G144" s="175" t="s">
        <v>542</v>
      </c>
      <c r="H144" s="171" t="s">
        <v>83</v>
      </c>
      <c r="I144" s="172" t="s">
        <v>83</v>
      </c>
    </row>
    <row r="145" customFormat="false" ht="19.5" hidden="false" customHeight="true" outlineLevel="0" collapsed="false">
      <c r="A145" s="159" t="s">
        <v>782</v>
      </c>
      <c r="B145" s="183" t="s">
        <v>783</v>
      </c>
      <c r="C145" s="184" t="s">
        <v>101</v>
      </c>
      <c r="D145" s="171" t="s">
        <v>537</v>
      </c>
      <c r="E145" s="175" t="s">
        <v>770</v>
      </c>
      <c r="F145" s="171" t="s">
        <v>771</v>
      </c>
      <c r="G145" s="175" t="s">
        <v>542</v>
      </c>
      <c r="H145" s="171" t="s">
        <v>83</v>
      </c>
      <c r="I145" s="172" t="s">
        <v>83</v>
      </c>
    </row>
    <row r="146" customFormat="false" ht="19.5" hidden="false" customHeight="true" outlineLevel="0" collapsed="false">
      <c r="A146" s="159" t="s">
        <v>784</v>
      </c>
      <c r="B146" s="183" t="s">
        <v>785</v>
      </c>
      <c r="C146" s="184" t="s">
        <v>101</v>
      </c>
      <c r="D146" s="171" t="s">
        <v>552</v>
      </c>
      <c r="E146" s="175" t="s">
        <v>770</v>
      </c>
      <c r="F146" s="171" t="s">
        <v>771</v>
      </c>
      <c r="G146" s="175" t="s">
        <v>542</v>
      </c>
      <c r="H146" s="171" t="s">
        <v>83</v>
      </c>
      <c r="I146" s="172" t="s">
        <v>83</v>
      </c>
    </row>
    <row r="147" customFormat="false" ht="19.5" hidden="false" customHeight="true" outlineLevel="0" collapsed="false">
      <c r="A147" s="159" t="s">
        <v>786</v>
      </c>
      <c r="B147" s="183" t="s">
        <v>787</v>
      </c>
      <c r="C147" s="184" t="s">
        <v>101</v>
      </c>
      <c r="D147" s="171" t="s">
        <v>552</v>
      </c>
      <c r="E147" s="175" t="s">
        <v>770</v>
      </c>
      <c r="F147" s="171" t="s">
        <v>771</v>
      </c>
      <c r="G147" s="175" t="s">
        <v>542</v>
      </c>
      <c r="H147" s="171" t="s">
        <v>83</v>
      </c>
      <c r="I147" s="172" t="s">
        <v>83</v>
      </c>
    </row>
    <row r="148" customFormat="false" ht="19.5" hidden="false" customHeight="true" outlineLevel="0" collapsed="false">
      <c r="A148" s="185" t="s">
        <v>788</v>
      </c>
      <c r="B148" s="186" t="s">
        <v>789</v>
      </c>
      <c r="C148" s="187" t="s">
        <v>105</v>
      </c>
      <c r="D148" s="171" t="s">
        <v>555</v>
      </c>
      <c r="E148" s="175" t="s">
        <v>790</v>
      </c>
      <c r="F148" s="171" t="s">
        <v>791</v>
      </c>
      <c r="G148" s="175" t="s">
        <v>560</v>
      </c>
      <c r="H148" s="171" t="s">
        <v>83</v>
      </c>
      <c r="I148" s="172" t="s">
        <v>83</v>
      </c>
    </row>
    <row r="149" customFormat="false" ht="19.5" hidden="false" customHeight="true" outlineLevel="0" collapsed="false">
      <c r="A149" s="185" t="s">
        <v>792</v>
      </c>
      <c r="B149" s="186" t="s">
        <v>793</v>
      </c>
      <c r="C149" s="187" t="s">
        <v>105</v>
      </c>
      <c r="D149" s="171" t="s">
        <v>565</v>
      </c>
      <c r="E149" s="175" t="s">
        <v>790</v>
      </c>
      <c r="F149" s="171" t="s">
        <v>791</v>
      </c>
      <c r="G149" s="175" t="s">
        <v>560</v>
      </c>
      <c r="H149" s="171" t="s">
        <v>83</v>
      </c>
      <c r="I149" s="172" t="s">
        <v>83</v>
      </c>
    </row>
    <row r="150" customFormat="false" ht="19.5" hidden="false" customHeight="true" outlineLevel="0" collapsed="false">
      <c r="A150" s="185" t="s">
        <v>794</v>
      </c>
      <c r="B150" s="186" t="s">
        <v>795</v>
      </c>
      <c r="C150" s="187" t="s">
        <v>105</v>
      </c>
      <c r="D150" s="171" t="s">
        <v>570</v>
      </c>
      <c r="E150" s="175" t="s">
        <v>790</v>
      </c>
      <c r="F150" s="171" t="s">
        <v>791</v>
      </c>
      <c r="G150" s="175" t="s">
        <v>560</v>
      </c>
      <c r="H150" s="171" t="s">
        <v>83</v>
      </c>
      <c r="I150" s="172" t="s">
        <v>83</v>
      </c>
    </row>
    <row r="151" customFormat="false" ht="19.5" hidden="false" customHeight="true" outlineLevel="0" collapsed="false">
      <c r="A151" s="185" t="s">
        <v>796</v>
      </c>
      <c r="B151" s="186" t="s">
        <v>797</v>
      </c>
      <c r="C151" s="187" t="s">
        <v>105</v>
      </c>
      <c r="D151" s="171" t="s">
        <v>555</v>
      </c>
      <c r="E151" s="175" t="s">
        <v>790</v>
      </c>
      <c r="F151" s="171" t="s">
        <v>791</v>
      </c>
      <c r="G151" s="175" t="s">
        <v>560</v>
      </c>
      <c r="H151" s="171" t="s">
        <v>83</v>
      </c>
      <c r="I151" s="172" t="s">
        <v>83</v>
      </c>
    </row>
    <row r="152" customFormat="false" ht="19.5" hidden="false" customHeight="true" outlineLevel="0" collapsed="false">
      <c r="A152" s="185" t="s">
        <v>798</v>
      </c>
      <c r="B152" s="186" t="s">
        <v>799</v>
      </c>
      <c r="C152" s="187" t="s">
        <v>105</v>
      </c>
      <c r="D152" s="171" t="s">
        <v>565</v>
      </c>
      <c r="E152" s="175" t="s">
        <v>790</v>
      </c>
      <c r="F152" s="171" t="s">
        <v>791</v>
      </c>
      <c r="G152" s="175" t="s">
        <v>560</v>
      </c>
      <c r="H152" s="171" t="s">
        <v>83</v>
      </c>
      <c r="I152" s="172" t="s">
        <v>83</v>
      </c>
    </row>
    <row r="153" customFormat="false" ht="19.5" hidden="false" customHeight="true" outlineLevel="0" collapsed="false">
      <c r="A153" s="185" t="s">
        <v>800</v>
      </c>
      <c r="B153" s="186" t="s">
        <v>801</v>
      </c>
      <c r="C153" s="187" t="s">
        <v>105</v>
      </c>
      <c r="D153" s="171" t="s">
        <v>570</v>
      </c>
      <c r="E153" s="175" t="s">
        <v>790</v>
      </c>
      <c r="F153" s="171" t="s">
        <v>791</v>
      </c>
      <c r="G153" s="175" t="s">
        <v>560</v>
      </c>
      <c r="H153" s="171" t="s">
        <v>83</v>
      </c>
      <c r="I153" s="172" t="s">
        <v>83</v>
      </c>
    </row>
    <row r="154" customFormat="false" ht="19.5" hidden="false" customHeight="true" outlineLevel="0" collapsed="false">
      <c r="A154" s="185" t="s">
        <v>802</v>
      </c>
      <c r="B154" s="186" t="s">
        <v>803</v>
      </c>
      <c r="C154" s="187" t="s">
        <v>105</v>
      </c>
      <c r="D154" s="171" t="s">
        <v>555</v>
      </c>
      <c r="E154" s="175" t="s">
        <v>790</v>
      </c>
      <c r="F154" s="171" t="s">
        <v>791</v>
      </c>
      <c r="G154" s="175" t="s">
        <v>560</v>
      </c>
      <c r="H154" s="171" t="s">
        <v>83</v>
      </c>
      <c r="I154" s="172" t="s">
        <v>83</v>
      </c>
    </row>
    <row r="155" customFormat="false" ht="19.5" hidden="false" customHeight="true" outlineLevel="0" collapsed="false">
      <c r="A155" s="185" t="s">
        <v>804</v>
      </c>
      <c r="B155" s="186" t="s">
        <v>805</v>
      </c>
      <c r="C155" s="187" t="s">
        <v>105</v>
      </c>
      <c r="D155" s="171" t="s">
        <v>565</v>
      </c>
      <c r="E155" s="175" t="s">
        <v>790</v>
      </c>
      <c r="F155" s="171" t="s">
        <v>791</v>
      </c>
      <c r="G155" s="175" t="s">
        <v>560</v>
      </c>
      <c r="H155" s="171" t="s">
        <v>83</v>
      </c>
      <c r="I155" s="172" t="s">
        <v>83</v>
      </c>
    </row>
    <row r="156" customFormat="false" ht="19.5" hidden="false" customHeight="true" outlineLevel="0" collapsed="false">
      <c r="A156" s="185" t="s">
        <v>806</v>
      </c>
      <c r="B156" s="186" t="s">
        <v>807</v>
      </c>
      <c r="C156" s="187" t="s">
        <v>105</v>
      </c>
      <c r="D156" s="171" t="s">
        <v>570</v>
      </c>
      <c r="E156" s="175" t="s">
        <v>790</v>
      </c>
      <c r="F156" s="171" t="s">
        <v>791</v>
      </c>
      <c r="G156" s="175" t="s">
        <v>560</v>
      </c>
      <c r="H156" s="171" t="s">
        <v>83</v>
      </c>
      <c r="I156" s="172" t="s">
        <v>83</v>
      </c>
    </row>
  </sheetData>
  <mergeCells count="2">
    <mergeCell ref="A1:I1"/>
    <mergeCell ref="A2:I2"/>
  </mergeCells>
  <hyperlinks>
    <hyperlink ref="J1" r:id="rId1" location="🗺️%20제작%20방식%20개요!A1" display="🏠 개요로 돌아가기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2026-03-04T08:46:16Z</dcterms:created>
  <dc:creator>openpyxl</dc:creator>
  <dc:description/>
  <dc:language>en-US</dc:language>
  <cp:lastModifiedBy>황보영</cp:lastModifiedBy>
  <dcterms:modified xsi:type="dcterms:W3CDTF">2026-03-06T05:39:51Z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